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Outils\UwAmp-PHP8\www\ToDoList\Documentation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C54" i="10"/>
  <c r="C53" i="10"/>
  <c r="B12" i="12"/>
  <c r="C11" i="12"/>
  <c r="C10" i="12"/>
  <c r="C9" i="12"/>
  <c r="C8" i="12"/>
  <c r="C7" i="12"/>
  <c r="C6" i="12"/>
  <c r="C5" i="12"/>
  <c r="B24" i="12"/>
  <c r="C23" i="12"/>
  <c r="C22" i="12"/>
  <c r="C21" i="12"/>
  <c r="C20" i="12"/>
  <c r="C19" i="12"/>
  <c r="C18" i="12"/>
  <c r="C17" i="12"/>
  <c r="B36" i="12"/>
  <c r="C35" i="12"/>
  <c r="C34" i="12"/>
  <c r="C33" i="12"/>
  <c r="C32" i="12"/>
  <c r="C31" i="12"/>
  <c r="C30" i="12"/>
  <c r="C29" i="12"/>
  <c r="B48" i="12"/>
  <c r="C47" i="12"/>
  <c r="C46" i="12"/>
  <c r="C45" i="12"/>
  <c r="C44" i="12"/>
  <c r="C43" i="12"/>
  <c r="C42" i="12"/>
  <c r="C41" i="12"/>
  <c r="B60" i="12"/>
  <c r="C59" i="12"/>
  <c r="C58" i="12"/>
  <c r="C57" i="12"/>
  <c r="C56" i="12"/>
  <c r="C55" i="12"/>
  <c r="C54" i="12"/>
  <c r="C53" i="12"/>
  <c r="C16" i="12"/>
  <c r="C28" i="12"/>
  <c r="C40" i="12"/>
  <c r="C52" i="12"/>
  <c r="C16" i="10"/>
  <c r="C28" i="10"/>
  <c r="C40" i="10"/>
  <c r="C52" i="10"/>
  <c r="C4" i="10"/>
  <c r="C12" i="10"/>
  <c r="C24" i="10"/>
  <c r="C36" i="10"/>
  <c r="C48" i="10"/>
  <c r="C60" i="10"/>
  <c r="C4" i="12"/>
  <c r="C12" i="12"/>
  <c r="C24" i="12"/>
  <c r="C36" i="12"/>
  <c r="C48" i="12"/>
  <c r="C60" i="12"/>
  <c r="B72" i="10" l="1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C78" i="10"/>
  <c r="C77" i="10"/>
  <c r="B72" i="12"/>
  <c r="C71" i="12"/>
  <c r="C70" i="12"/>
  <c r="C69" i="12"/>
  <c r="C68" i="12"/>
  <c r="C67" i="12"/>
  <c r="C66" i="12"/>
  <c r="C65" i="12"/>
  <c r="B84" i="12"/>
  <c r="C83" i="12"/>
  <c r="C82" i="12"/>
  <c r="C81" i="12"/>
  <c r="C80" i="12"/>
  <c r="C79" i="12"/>
  <c r="C78" i="12"/>
  <c r="C77" i="12"/>
  <c r="C64" i="10"/>
  <c r="C76" i="10"/>
  <c r="C72" i="10"/>
  <c r="C84" i="10"/>
  <c r="C64" i="12"/>
  <c r="C72" i="12"/>
  <c r="C76" i="12"/>
  <c r="C84" i="12"/>
  <c r="B96" i="12" l="1"/>
  <c r="C95" i="12"/>
  <c r="C94" i="12"/>
  <c r="C93" i="12"/>
  <c r="C92" i="12"/>
  <c r="C91" i="12"/>
  <c r="C90" i="12"/>
  <c r="C89" i="12"/>
  <c r="B108" i="12"/>
  <c r="C107" i="12"/>
  <c r="C106" i="12"/>
  <c r="C105" i="12"/>
  <c r="C104" i="12"/>
  <c r="C103" i="12"/>
  <c r="C102" i="12"/>
  <c r="C101" i="12"/>
  <c r="B96" i="10"/>
  <c r="C95" i="10"/>
  <c r="C94" i="10"/>
  <c r="C93" i="10"/>
  <c r="C92" i="10"/>
  <c r="C91" i="10"/>
  <c r="C90" i="10"/>
  <c r="C89" i="10"/>
  <c r="B108" i="10"/>
  <c r="C107" i="10"/>
  <c r="C106" i="10"/>
  <c r="C105" i="10"/>
  <c r="C104" i="10"/>
  <c r="C103" i="10"/>
  <c r="C102" i="10"/>
  <c r="C101" i="10"/>
  <c r="C88" i="10"/>
  <c r="C100" i="10"/>
  <c r="C96" i="10"/>
  <c r="C108" i="10"/>
  <c r="C88" i="12"/>
  <c r="C96" i="12"/>
  <c r="C100" i="12"/>
  <c r="C108" i="12"/>
  <c r="B120" i="12" l="1"/>
  <c r="C119" i="12"/>
  <c r="C118" i="12"/>
  <c r="C117" i="12"/>
  <c r="C116" i="12"/>
  <c r="C115" i="12"/>
  <c r="C114" i="12"/>
  <c r="B132" i="12"/>
  <c r="C131" i="12"/>
  <c r="C130" i="12"/>
  <c r="C129" i="12"/>
  <c r="C128" i="12"/>
  <c r="C127" i="12"/>
  <c r="C126" i="12"/>
  <c r="C125" i="12"/>
  <c r="B144" i="12"/>
  <c r="C143" i="12"/>
  <c r="C142" i="12"/>
  <c r="C141" i="12"/>
  <c r="C140" i="12"/>
  <c r="C139" i="12"/>
  <c r="C138" i="12"/>
  <c r="B120" i="10"/>
  <c r="C119" i="10"/>
  <c r="C118" i="10"/>
  <c r="C117" i="10"/>
  <c r="C116" i="10"/>
  <c r="C115" i="10"/>
  <c r="C114" i="10"/>
  <c r="C113" i="10"/>
  <c r="B132" i="10"/>
  <c r="C131" i="10"/>
  <c r="C130" i="10"/>
  <c r="C129" i="10"/>
  <c r="C128" i="10"/>
  <c r="C127" i="10"/>
  <c r="C126" i="10"/>
  <c r="C125" i="10"/>
  <c r="C112" i="10"/>
  <c r="C124" i="10"/>
  <c r="C137" i="12"/>
  <c r="C136" i="12"/>
  <c r="C144" i="12"/>
  <c r="C120" i="10"/>
  <c r="C132" i="10"/>
  <c r="C113" i="12"/>
  <c r="C112" i="12"/>
  <c r="C120" i="12"/>
  <c r="C132" i="12"/>
  <c r="C124" i="12"/>
  <c r="B144" i="10" l="1"/>
  <c r="C143" i="10"/>
  <c r="C142" i="10"/>
  <c r="C141" i="10"/>
  <c r="C140" i="10"/>
  <c r="C139" i="10"/>
  <c r="C138" i="10"/>
  <c r="C137" i="10"/>
  <c r="C136" i="10"/>
  <c r="C144" i="10"/>
  <c r="B156" i="12" l="1"/>
  <c r="C155" i="12"/>
  <c r="C154" i="12"/>
  <c r="C153" i="12"/>
  <c r="C152" i="12"/>
  <c r="C151" i="12"/>
  <c r="C150" i="12"/>
  <c r="C149" i="12"/>
  <c r="B168" i="12"/>
  <c r="C167" i="12"/>
  <c r="C166" i="12"/>
  <c r="C165" i="12"/>
  <c r="C164" i="12"/>
  <c r="C163" i="12"/>
  <c r="C162" i="12"/>
  <c r="B180" i="12"/>
  <c r="C179" i="12"/>
  <c r="C178" i="12"/>
  <c r="C177" i="12"/>
  <c r="C176" i="12"/>
  <c r="C175" i="12"/>
  <c r="C174" i="12"/>
  <c r="B192" i="12"/>
  <c r="C191" i="12"/>
  <c r="C190" i="12"/>
  <c r="C189" i="12"/>
  <c r="C188" i="12"/>
  <c r="C187" i="12"/>
  <c r="B204" i="12"/>
  <c r="C203" i="12"/>
  <c r="C202" i="12"/>
  <c r="C201" i="12"/>
  <c r="C200" i="12"/>
  <c r="C199" i="12"/>
  <c r="C198" i="12"/>
  <c r="C197" i="12"/>
  <c r="B216" i="12"/>
  <c r="C215" i="12"/>
  <c r="C214" i="12"/>
  <c r="C213" i="12"/>
  <c r="C212" i="12"/>
  <c r="C211" i="12"/>
  <c r="C210" i="12"/>
  <c r="C209" i="12"/>
  <c r="B228" i="12"/>
  <c r="C227" i="12"/>
  <c r="C226" i="12"/>
  <c r="C225" i="12"/>
  <c r="C224" i="12"/>
  <c r="C223" i="12"/>
  <c r="C222" i="12"/>
  <c r="B156" i="10"/>
  <c r="C155" i="10"/>
  <c r="C154" i="10"/>
  <c r="C153" i="10"/>
  <c r="C152" i="10"/>
  <c r="C151" i="10"/>
  <c r="C150" i="10"/>
  <c r="C149" i="10"/>
  <c r="B168" i="10"/>
  <c r="C167" i="10"/>
  <c r="C166" i="10"/>
  <c r="C165" i="10"/>
  <c r="C164" i="10"/>
  <c r="C163" i="10"/>
  <c r="C162" i="10"/>
  <c r="C161" i="10"/>
  <c r="B180" i="10"/>
  <c r="C179" i="10"/>
  <c r="C178" i="10"/>
  <c r="C177" i="10"/>
  <c r="C176" i="10"/>
  <c r="C175" i="10"/>
  <c r="C174" i="10"/>
  <c r="C173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C198" i="10"/>
  <c r="B216" i="10"/>
  <c r="C215" i="10"/>
  <c r="C214" i="10"/>
  <c r="C213" i="10"/>
  <c r="C212" i="10"/>
  <c r="C211" i="10"/>
  <c r="C210" i="10"/>
  <c r="C209" i="10"/>
  <c r="B228" i="10"/>
  <c r="C227" i="10"/>
  <c r="C226" i="10"/>
  <c r="C225" i="10"/>
  <c r="C224" i="10"/>
  <c r="C223" i="10"/>
  <c r="C222" i="10"/>
  <c r="C148" i="12"/>
  <c r="C172" i="12"/>
  <c r="C204" i="12"/>
  <c r="C220" i="10"/>
  <c r="C186" i="12"/>
  <c r="C156" i="10"/>
  <c r="C168" i="10"/>
  <c r="C196" i="12"/>
  <c r="C160" i="10"/>
  <c r="C192" i="10"/>
  <c r="C208" i="12"/>
  <c r="C172" i="10"/>
  <c r="C204" i="10"/>
  <c r="C180" i="10"/>
  <c r="C221" i="12"/>
  <c r="C185" i="10"/>
  <c r="C216" i="10"/>
  <c r="C220" i="12"/>
  <c r="C184" i="10"/>
  <c r="C228" i="10"/>
  <c r="C185" i="12"/>
  <c r="C184" i="12"/>
  <c r="C156" i="12"/>
  <c r="C197" i="10"/>
  <c r="C161" i="12"/>
  <c r="C168" i="12"/>
  <c r="C196" i="10"/>
  <c r="C148" i="10"/>
  <c r="C160" i="12"/>
  <c r="C180" i="12"/>
  <c r="C208" i="10"/>
  <c r="C173" i="12"/>
  <c r="C192" i="12"/>
  <c r="C221" i="10"/>
  <c r="C216" i="12"/>
  <c r="C22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<sst xmlns="http://schemas.openxmlformats.org/spreadsheetml/2006/main" count="726" uniqueCount="133">
  <si>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</si>
  <si>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</si>
  <si>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</si>
  <si>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</si>
  <si>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</si>
  <si>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</si>
  <si>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</si>
  <si>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</si>
  <si>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</si>
  <si>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</si>
  <si>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</si>
  <si>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</si>
  <si>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</si>
  <si>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</si>
  <si>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</si>
  <si>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</si>
  <si>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</si>
  <si>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</si>
  <si>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</si>
  <si>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</si>
  <si>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</si>
  <si>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</si>
  <si>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</si>
  <si>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</si>
  <si>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</si>
  <si>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</si>
  <si>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</si>
  <si>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</si>
  <si>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</si>
  <si>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</si>
  <si>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</si>
  <si>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</si>
  <si>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</si>
  <si>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</si>
  <si>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</si>
  <si>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</si>
  <si>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</si>
  <si>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</si>
  <si>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</si>
  <si>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</si>
  <si>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</si>
  <si>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</si>
  <si>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</si>
  <si>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Démo-Mot</t>
  </si>
  <si>
    <t>Emilien Charpié</t>
  </si>
  <si>
    <t>Min 2</t>
  </si>
  <si>
    <t>Réalisation - Calendrier</t>
  </si>
  <si>
    <t>Réalisation - Ajout des tâches</t>
  </si>
  <si>
    <t>Réalisation - Ajout des groupes</t>
  </si>
  <si>
    <t>Réalisation - Suppression des tâches</t>
  </si>
  <si>
    <t>Réalisation - Suppression des groupes</t>
  </si>
  <si>
    <t>Recherche et compréhension de la template</t>
  </si>
  <si>
    <t>Faire le calendrier</t>
  </si>
  <si>
    <t>Compréhension de la template</t>
  </si>
  <si>
    <t>Recherche - Spécifications techniques</t>
  </si>
  <si>
    <t>Crecherche sur le jQuery car la template utilise le jQuery</t>
  </si>
  <si>
    <t>Création d'un fichier json et ajout de toutes les tâches dedans</t>
  </si>
  <si>
    <t>Création de l'interface des groupes de manière dynamique avec le fichier json</t>
  </si>
  <si>
    <t>Ajout de l'interface des tâches selon dans quelle groupe elle se situes, et ce avec les données du fichier json</t>
  </si>
  <si>
    <t>Ajout des tâche sur la page des tâches</t>
  </si>
  <si>
    <t>Ajout des groupes sur la page des groupes</t>
  </si>
  <si>
    <t>lundi, 30 mai 2022</t>
  </si>
  <si>
    <t>mardi, 31 mai 2022</t>
  </si>
  <si>
    <t>mercredi, 1 juin 2022</t>
  </si>
  <si>
    <t>vendredi, 3 juin 2022</t>
  </si>
  <si>
    <t>Présentation du DémoMot par M.Duding</t>
  </si>
  <si>
    <t>Recherche d'une template et trouvée une qui fait le calendrier en jQuery</t>
  </si>
  <si>
    <t>Analyse de la template car elle est complexe</t>
  </si>
  <si>
    <t>Recherche sur le jQuery et faire quelques tests</t>
  </si>
  <si>
    <t>Ajout des tâches dans un fichier json et affichage des tâches dans le calendrier (en lian le fichier json)</t>
  </si>
  <si>
    <t>Ajout des groupes présents dans le fichier json sur la page</t>
  </si>
  <si>
    <t>Début de l'ajout des tâches depuis le fichier json dans la page des tâches</t>
  </si>
  <si>
    <t>Fin de l'ajout des tâches dans la page des tâches, selon dans quel groupes elle appartiennent</t>
  </si>
  <si>
    <t>Recherche sur l'AJAX, car il faudra de l'AJAX pour l'ajout des tâches.</t>
  </si>
  <si>
    <t>Ajout des tâches sur la page des tâches grâce a une requête AJAX</t>
  </si>
  <si>
    <t>Ajout des groupes sur la page des groupes grâce a une requête AJAX</t>
  </si>
  <si>
    <t>Séquence 7</t>
  </si>
  <si>
    <t>Séquence 6</t>
  </si>
  <si>
    <t>Séquence 5</t>
  </si>
  <si>
    <t>Séquence 4</t>
  </si>
  <si>
    <t>Suppression des tâches quand l'utilisateur clique sur términer les tâches (reste à incrémenter l'attribut "finish dans le fichier json)</t>
  </si>
  <si>
    <t>mardi, 7 juin 2022</t>
  </si>
  <si>
    <t>Ajout du design et de la fonctionnalité pour supprimer les groupes</t>
  </si>
  <si>
    <t>mercredi, 8 juin 2022</t>
  </si>
  <si>
    <t xml:space="preserve">Ajout de la fonction de la suppression des groupes. </t>
  </si>
  <si>
    <t>Création du setup pour installer l'application</t>
  </si>
  <si>
    <t>Réalisation - Setup d'installation</t>
  </si>
  <si>
    <t>Réalisation du setup d'installation</t>
  </si>
  <si>
    <t>Finition du setup d'iinstallation</t>
  </si>
  <si>
    <t>Séquence 8</t>
  </si>
  <si>
    <t>Séquence 10</t>
  </si>
  <si>
    <t>Séquence 9</t>
  </si>
  <si>
    <t>Recherche pour savoir comment mettre un répértoire dans un .exe</t>
  </si>
  <si>
    <t xml:space="preserve">Réalisation - Application </t>
  </si>
  <si>
    <t>Finistion du setup d'installation</t>
  </si>
  <si>
    <t>Création de l'application qui ouvre wamp et qui lance le site, reste à détécter quand le site se ferme pour pouvoir quitter uwamp</t>
  </si>
  <si>
    <t>Séquence 11</t>
  </si>
  <si>
    <t>Séquence 12</t>
  </si>
  <si>
    <t>vendredi, 10 juin 2022</t>
  </si>
  <si>
    <t>Faire l'application qui ouvre wamp et le site et qui les fermes</t>
  </si>
  <si>
    <t>Réalisation - Modification d'une tâche</t>
  </si>
  <si>
    <t>36h45min</t>
  </si>
  <si>
    <t>31h30min</t>
  </si>
  <si>
    <t>- 5h15min</t>
  </si>
  <si>
    <t>Avancement dans l'application pour ouvrire le site</t>
  </si>
  <si>
    <t>Finition de l'application pour ouvrir le site</t>
  </si>
  <si>
    <t>lundi, 13 juin 2022</t>
  </si>
  <si>
    <t>Séquence 14</t>
  </si>
  <si>
    <t>Séquence 13</t>
  </si>
  <si>
    <t>Examens de math</t>
  </si>
  <si>
    <t>Réalisation - Modification d'un groupe</t>
  </si>
  <si>
    <t>mardi, 14 juin 2022</t>
  </si>
  <si>
    <t>mercredi, 15 juin 2022</t>
  </si>
  <si>
    <t>vendredi, 17 juin 2022</t>
  </si>
  <si>
    <t>Modification d'une tâche (reste à faire l'affichage de l'heure et de la date)</t>
  </si>
  <si>
    <t>Modification d'une tâche, ajout de l'affichage du modal avec les valeures de la tâches</t>
  </si>
  <si>
    <t>Modification d'une tâche, affichage de l'heure et la date</t>
  </si>
  <si>
    <t>Modification d'un groupe (affichage)</t>
  </si>
  <si>
    <t>Modification d'un groupe (script)</t>
  </si>
  <si>
    <t>Modification d'une tâche (affichage de nom, date, heure, description et icone)</t>
  </si>
  <si>
    <t>Script de modification de la tâche</t>
  </si>
  <si>
    <t>Séquence 19</t>
  </si>
  <si>
    <t>Séquence 18</t>
  </si>
  <si>
    <t>Séquence 17</t>
  </si>
  <si>
    <t>Séquence 16</t>
  </si>
  <si>
    <t>Séquence 15</t>
  </si>
  <si>
    <t>Modification d'une tâche affichage</t>
  </si>
  <si>
    <t>Modification d'une tâche affichage (reste à faire l'heure et la date)</t>
  </si>
  <si>
    <t>Modification d'une tâches (Abandon de l'affichage de la date et de l'heure car trop compliqué et pas le temps)</t>
  </si>
  <si>
    <t>Création du script pour modifier la tâche</t>
  </si>
  <si>
    <t>Création de l'affichage pour modifier le group (avec toutes les valeures dans le modal)</t>
  </si>
  <si>
    <t>Création du script pour modifier un groupe</t>
  </si>
  <si>
    <t>30.05.2022 au 22.06.2022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</si>
</sst>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14" fontId="6" fillId="8" borderId="42" xfId="0" applyNumberFormat="1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7" borderId="53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28" xfId="0" applyFont="1" applyFill="1" applyBorder="1" applyProtection="1"/>
    <xf numFmtId="0" fontId="2" fillId="18" borderId="27" xfId="0" applyFont="1" applyFill="1" applyBorder="1" applyProtection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Réalisation - Calendrier</c:v>
              </c:pt>
              <c:pt idx="4">
                <c:v>Réalisation - Ajout des tâches</c:v>
              </c:pt>
              <c:pt idx="5">
                <c:v>Réalisation - Ajout des groupes</c:v>
              </c:pt>
              <c:pt idx="6">
                <c:v>Réalisation - Suppression des tâches</c:v>
              </c:pt>
              <c:pt idx="7">
                <c:v>Réalisation - Suppression des groupes</c:v>
              </c:pt>
              <c:pt idx="8">
                <c:v>Doc - Journal de travail</c:v>
              </c:pt>
              <c:pt idx="9">
                <c:v>Doc - Rapport</c:v>
              </c:pt>
              <c:pt idx="10">
                <c:v>Recherche - Spécifications techniques</c:v>
              </c:pt>
              <c:pt idx="11">
                <c:v>Réalisation - Setup d'installation</c:v>
              </c:pt>
              <c:pt idx="12">
                <c:v>Réalisation - Application </c:v>
              </c:pt>
              <c:pt idx="13">
                <c:v>Réalisation - Modification d'une tâche</c:v>
              </c:pt>
              <c:pt idx="14">
                <c:v>Réalisation - Exportation et importation d'un fichier de tâche</c:v>
              </c:pt>
            </c:strLit>
          </c:cat>
          <c:val>
            <c:numLit>
              <c:formatCode>General</c:formatCode>
              <c:ptCount val="16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3.25</c:v>
              </c:pt>
              <c:pt idx="4">
                <c:v>3</c:v>
              </c:pt>
              <c:pt idx="5">
                <c:v>3</c:v>
              </c:pt>
              <c:pt idx="6">
                <c:v>0</c:v>
              </c:pt>
              <c:pt idx="7">
                <c:v>3</c:v>
              </c:pt>
              <c:pt idx="8">
                <c:v>0</c:v>
              </c:pt>
              <c:pt idx="9">
                <c:v>0</c:v>
              </c:pt>
              <c:pt idx="10">
                <c:v>2</c:v>
              </c:pt>
              <c:pt idx="11">
                <c:v>6.75</c:v>
              </c:pt>
              <c:pt idx="12">
                <c:v>3</c:v>
              </c:pt>
              <c:pt idx="13">
                <c:v>3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1.5</c:v>
              </c:pt>
              <c:pt idx="4">
                <c:v>1.5</c:v>
              </c:pt>
              <c:pt idx="5">
                <c:v>4</c:v>
              </c:pt>
              <c:pt idx="6">
                <c:v>3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4.5</c:v>
              </c:pt>
              <c:pt idx="11">
                <c:v>5.75</c:v>
              </c:pt>
              <c:pt idx="12">
                <c:v>1.5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43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23762" y="197069"/>
          <a:ext cx="1123209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0300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9" t="s">
        <v>34</v>
      </c>
      <c r="C35" s="199"/>
      <c r="D35" s="199"/>
      <c r="E35" s="107" t="s">
        <v>101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0" t="s">
        <v>35</v>
      </c>
      <c r="C37" s="200"/>
      <c r="D37" s="200"/>
      <c r="E37" s="109" t="s">
        <v>102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98" t="s">
        <v>103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ARB99"/>
  <sheetViews>
    <sheetView showGridLines="0" tabSelected="1" zoomScale="55" zoomScaleNormal="55" zoomScaleSheetLayoutView="43" workbookViewId="0">
      <selection activeCell="BQ19" sqref="BQ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23.42578125" style="3" customWidth="1"/>
    <col min="6" max="1145" width="1.140625" style="3" customWidth="1"/>
    <col min="1146" max="1146" width="2.7109375" style="3" customWidth="1"/>
    <col min="1147" max="16384" width="11.42578125" style="3"/>
  </cols>
  <sheetData>
    <row r="1" spans="1:1146" ht="35.1" customHeight="1" x14ac:dyDescent="0.25">
      <c r="B1" s="95"/>
      <c r="C1" s="231" t="s">
        <v>31</v>
      </c>
      <c r="D1" s="231"/>
      <c r="E1" s="23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93">
        <v>1</v>
      </c>
    </row>
    <row r="2" spans="1:11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90"/>
    </row>
    <row r="3" spans="1:114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90"/>
    </row>
    <row r="4" spans="1:114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90"/>
    </row>
    <row r="5" spans="1:114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90"/>
    </row>
    <row r="6" spans="1:114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90"/>
    </row>
    <row r="7" spans="1:1146" ht="20.100000000000001" customHeight="1" thickBot="1" x14ac:dyDescent="0.3">
      <c r="B7" s="96"/>
      <c r="C7" s="232"/>
      <c r="D7" s="232"/>
      <c r="E7" s="23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90"/>
    </row>
    <row r="8" spans="1:1146" ht="30" customHeight="1" x14ac:dyDescent="0.25">
      <c r="B8" s="96"/>
      <c r="C8" s="7" t="s">
        <v>3</v>
      </c>
      <c r="D8" s="140"/>
      <c r="E8" s="165" t="s">
        <v>132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90"/>
    </row>
    <row r="9" spans="1:1146" ht="30" customHeight="1" x14ac:dyDescent="0.25">
      <c r="B9" s="96"/>
      <c r="C9" s="12" t="s">
        <v>18</v>
      </c>
      <c r="D9" s="141"/>
      <c r="E9" s="13" t="s">
        <v>22</v>
      </c>
      <c r="F9" s="14"/>
      <c r="G9" s="227" t="str">
        <f>E96</f>
        <v>58h30min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19"/>
      <c r="W9" s="226" t="s">
        <v>23</v>
      </c>
      <c r="X9" s="226"/>
      <c r="Y9" s="226"/>
      <c r="Z9" s="226"/>
      <c r="AA9" s="226"/>
      <c r="AB9" s="226"/>
      <c r="AC9" s="226"/>
      <c r="AD9" s="226"/>
      <c r="AE9" s="226"/>
      <c r="AF9" s="226"/>
      <c r="AG9" s="226"/>
      <c r="AH9" s="227" t="str">
        <f>E98</f>
        <v>59h15min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90"/>
    </row>
    <row r="10" spans="1:11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8"/>
      <c r="BO10" s="228"/>
      <c r="BP10" s="228"/>
      <c r="BQ10" s="228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28"/>
      <c r="CE10" s="228"/>
      <c r="CF10" s="228"/>
      <c r="CG10" s="228"/>
      <c r="CH10" s="228"/>
      <c r="CI10" s="228"/>
      <c r="CJ10" s="228"/>
      <c r="CK10" s="228"/>
      <c r="CL10" s="228"/>
      <c r="CM10" s="228"/>
      <c r="CN10" s="228"/>
      <c r="CO10" s="228"/>
      <c r="CP10" s="228"/>
      <c r="CQ10" s="92"/>
      <c r="CR10" s="201"/>
      <c r="CS10" s="201"/>
      <c r="CT10" s="201"/>
      <c r="CU10" s="201"/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F10" s="201"/>
      <c r="DG10" s="201"/>
      <c r="DH10" s="201"/>
      <c r="DI10" s="201"/>
      <c r="DJ10" s="201"/>
      <c r="DK10" s="201"/>
      <c r="DL10" s="201"/>
      <c r="DM10" s="201"/>
      <c r="DN10" s="201"/>
      <c r="DO10" s="201"/>
      <c r="DP10" s="201"/>
      <c r="DQ10" s="201"/>
      <c r="DR10" s="201"/>
      <c r="DS10" s="201"/>
      <c r="DT10" s="201"/>
      <c r="DU10" s="201"/>
      <c r="DV10" s="201"/>
      <c r="DW10" s="201"/>
      <c r="DX10" s="201"/>
      <c r="DY10" s="201"/>
      <c r="DZ10" s="201"/>
      <c r="EA10" s="201"/>
      <c r="EB10" s="201"/>
      <c r="EC10" s="201"/>
      <c r="ED10" s="201"/>
      <c r="EE10" s="201"/>
      <c r="EF10" s="201"/>
      <c r="EG10" s="201"/>
      <c r="EH10" s="201"/>
      <c r="EI10" s="201"/>
      <c r="EJ10" s="201"/>
      <c r="EK10" s="201"/>
      <c r="EL10" s="201"/>
      <c r="EM10" s="201"/>
      <c r="EN10" s="201"/>
      <c r="EO10" s="201"/>
      <c r="EP10" s="201"/>
      <c r="EQ10" s="201"/>
      <c r="ER10" s="201"/>
      <c r="ES10" s="201"/>
      <c r="ET10" s="201"/>
      <c r="EU10" s="201"/>
      <c r="EV10" s="201"/>
      <c r="EW10" s="201"/>
      <c r="EX10" s="201"/>
      <c r="EY10" s="201"/>
      <c r="EZ10" s="201"/>
      <c r="FA10" s="201"/>
      <c r="FB10" s="201"/>
      <c r="FC10" s="201"/>
      <c r="FD10" s="201"/>
      <c r="FE10" s="201"/>
      <c r="FF10" s="201"/>
      <c r="FG10" s="201"/>
      <c r="FH10" s="201"/>
      <c r="FI10" s="201"/>
      <c r="FJ10" s="201"/>
      <c r="FK10" s="201"/>
      <c r="FL10" s="201"/>
      <c r="FM10" s="201"/>
      <c r="FN10" s="201"/>
      <c r="FO10" s="201"/>
      <c r="FP10" s="201"/>
      <c r="FQ10" s="201"/>
      <c r="FR10" s="201"/>
      <c r="FS10" s="201"/>
      <c r="FT10" s="201"/>
      <c r="FU10" s="201"/>
      <c r="FV10" s="201"/>
      <c r="FW10" s="201"/>
      <c r="FX10" s="201"/>
      <c r="FY10" s="201"/>
      <c r="FZ10" s="201"/>
      <c r="GA10" s="201"/>
      <c r="GB10" s="201"/>
      <c r="GC10" s="201"/>
      <c r="GD10" s="201"/>
      <c r="GE10" s="201"/>
      <c r="GF10" s="201"/>
      <c r="GG10" s="201"/>
      <c r="GH10" s="201"/>
      <c r="GI10" s="201"/>
      <c r="GJ10" s="201"/>
      <c r="GK10" s="201"/>
      <c r="GL10" s="201"/>
      <c r="GM10" s="201"/>
      <c r="GN10" s="201"/>
      <c r="GO10" s="201"/>
      <c r="GP10" s="201"/>
      <c r="GQ10" s="201"/>
      <c r="GR10" s="201"/>
      <c r="GS10" s="201"/>
      <c r="GT10" s="201"/>
      <c r="GU10" s="201"/>
      <c r="GV10" s="201"/>
      <c r="GW10" s="201"/>
      <c r="GX10" s="201"/>
      <c r="GY10" s="201"/>
      <c r="GZ10" s="201"/>
      <c r="HA10" s="201"/>
      <c r="HB10" s="201"/>
      <c r="HC10" s="201"/>
      <c r="HD10" s="201"/>
      <c r="HE10" s="201"/>
      <c r="HF10" s="201"/>
      <c r="HG10" s="201"/>
      <c r="HH10" s="201"/>
      <c r="HI10" s="201"/>
      <c r="HJ10" s="201"/>
      <c r="HK10" s="201"/>
      <c r="HL10" s="201"/>
      <c r="HM10" s="201"/>
      <c r="HN10" s="201"/>
      <c r="HO10" s="201"/>
      <c r="HP10" s="201"/>
      <c r="HQ10" s="201"/>
      <c r="HR10" s="201"/>
      <c r="HS10" s="201"/>
      <c r="HT10" s="201"/>
      <c r="HU10" s="201"/>
      <c r="HV10" s="201"/>
      <c r="HW10" s="201"/>
      <c r="HX10" s="201"/>
      <c r="HY10" s="201"/>
      <c r="HZ10" s="201"/>
      <c r="IA10" s="201"/>
      <c r="IB10" s="201"/>
      <c r="IC10" s="201"/>
      <c r="ID10" s="201"/>
      <c r="IE10" s="201"/>
      <c r="IF10" s="201"/>
      <c r="IG10" s="201"/>
      <c r="IH10" s="201"/>
      <c r="II10" s="201"/>
      <c r="IJ10" s="201"/>
      <c r="IK10" s="201"/>
      <c r="IL10" s="201"/>
      <c r="IM10" s="201"/>
      <c r="IN10" s="201"/>
      <c r="IO10" s="201"/>
      <c r="IP10" s="201"/>
      <c r="IQ10" s="201"/>
      <c r="IR10" s="201"/>
      <c r="IS10" s="201"/>
      <c r="IT10" s="201"/>
      <c r="IU10" s="201"/>
      <c r="IV10" s="201"/>
      <c r="IW10" s="201"/>
      <c r="IX10" s="201"/>
      <c r="IY10" s="201"/>
      <c r="IZ10" s="201"/>
      <c r="JA10" s="201"/>
      <c r="JB10" s="201"/>
      <c r="JC10" s="201"/>
      <c r="JD10" s="201"/>
      <c r="JE10" s="201"/>
      <c r="JF10" s="201"/>
      <c r="JG10" s="201"/>
      <c r="JH10" s="201"/>
      <c r="JI10" s="201"/>
      <c r="JJ10" s="201"/>
      <c r="JK10" s="201"/>
      <c r="JL10" s="201"/>
      <c r="JM10" s="201"/>
      <c r="JN10" s="201"/>
      <c r="JO10" s="201"/>
      <c r="JP10" s="201"/>
      <c r="JQ10" s="201"/>
      <c r="JR10" s="201"/>
      <c r="JS10" s="201"/>
      <c r="JT10" s="201"/>
      <c r="JU10" s="201"/>
      <c r="JV10" s="201"/>
      <c r="JW10" s="201"/>
      <c r="JX10" s="201"/>
      <c r="JY10" s="201"/>
      <c r="JZ10" s="201"/>
      <c r="KA10" s="201"/>
      <c r="KB10" s="201"/>
      <c r="KC10" s="201"/>
      <c r="KD10" s="201"/>
      <c r="KE10" s="201"/>
      <c r="KF10" s="201"/>
      <c r="KG10" s="201"/>
      <c r="KH10" s="201"/>
      <c r="KI10" s="201"/>
      <c r="KJ10" s="201"/>
      <c r="KK10" s="201"/>
      <c r="KL10" s="201"/>
      <c r="KM10" s="201"/>
      <c r="KN10" s="201"/>
      <c r="KO10" s="201"/>
      <c r="KP10" s="201"/>
      <c r="KQ10" s="201"/>
      <c r="KR10" s="201"/>
      <c r="KS10" s="201"/>
      <c r="KT10" s="201"/>
      <c r="KU10" s="201"/>
      <c r="KV10" s="201"/>
      <c r="KW10" s="201"/>
      <c r="KX10" s="201"/>
      <c r="KY10" s="201"/>
      <c r="KZ10" s="201"/>
      <c r="LA10" s="201"/>
      <c r="LB10" s="201"/>
      <c r="LC10" s="201"/>
      <c r="LD10" s="201"/>
      <c r="LE10" s="201"/>
      <c r="LF10" s="201"/>
      <c r="LG10" s="201"/>
      <c r="LH10" s="201"/>
      <c r="LI10" s="201"/>
      <c r="LJ10" s="201"/>
      <c r="LK10" s="201"/>
      <c r="LL10" s="201"/>
      <c r="LM10" s="201"/>
      <c r="LN10" s="201"/>
      <c r="LO10" s="201"/>
      <c r="LP10" s="201"/>
      <c r="LQ10" s="201"/>
      <c r="LR10" s="201"/>
      <c r="LS10" s="201"/>
      <c r="LT10" s="201"/>
      <c r="LU10" s="201"/>
      <c r="LV10" s="201"/>
      <c r="LW10" s="201"/>
      <c r="LX10" s="201"/>
      <c r="LY10" s="201"/>
      <c r="LZ10" s="201"/>
      <c r="MA10" s="201"/>
      <c r="MB10" s="201"/>
      <c r="MC10" s="201"/>
      <c r="MD10" s="201"/>
      <c r="ME10" s="201"/>
      <c r="MF10" s="201"/>
      <c r="MG10" s="201"/>
      <c r="MH10" s="201"/>
      <c r="MI10" s="201"/>
      <c r="MJ10" s="201"/>
      <c r="MK10" s="201"/>
      <c r="ML10" s="201"/>
      <c r="MM10" s="201"/>
      <c r="MN10" s="201"/>
      <c r="MO10" s="201"/>
      <c r="MP10" s="201"/>
      <c r="MQ10" s="201"/>
      <c r="MR10" s="201"/>
      <c r="MS10" s="201"/>
      <c r="MT10" s="201"/>
      <c r="MU10" s="201"/>
      <c r="MV10" s="201"/>
      <c r="MW10" s="201"/>
      <c r="MX10" s="201"/>
      <c r="MY10" s="201"/>
      <c r="MZ10" s="201"/>
      <c r="NA10" s="201"/>
      <c r="NB10" s="201"/>
      <c r="NC10" s="201"/>
      <c r="ND10" s="201"/>
      <c r="NE10" s="201"/>
      <c r="NF10" s="201"/>
      <c r="NG10" s="201"/>
      <c r="NH10" s="201"/>
      <c r="NI10" s="201"/>
      <c r="NJ10" s="201"/>
      <c r="NK10" s="201"/>
      <c r="NL10" s="201"/>
      <c r="NM10" s="201"/>
      <c r="NN10" s="201"/>
      <c r="NO10" s="201"/>
      <c r="NP10" s="201"/>
      <c r="NQ10" s="201"/>
      <c r="NR10" s="201"/>
      <c r="NS10" s="201"/>
      <c r="NT10" s="201"/>
      <c r="NU10" s="201"/>
      <c r="NV10" s="201"/>
      <c r="NW10" s="201"/>
      <c r="NX10" s="201"/>
      <c r="NY10" s="201"/>
      <c r="NZ10" s="201"/>
      <c r="OA10" s="201"/>
      <c r="OB10" s="201"/>
      <c r="OC10" s="201"/>
      <c r="OD10" s="201"/>
      <c r="OE10" s="201"/>
      <c r="OF10" s="201"/>
      <c r="OG10" s="201"/>
      <c r="OH10" s="201"/>
      <c r="OI10" s="201"/>
      <c r="OJ10" s="201"/>
      <c r="OK10" s="201"/>
      <c r="OL10" s="201"/>
      <c r="OM10" s="201"/>
      <c r="ON10" s="201"/>
      <c r="OO10" s="201"/>
      <c r="OP10" s="201"/>
      <c r="OQ10" s="201"/>
      <c r="OR10" s="201"/>
      <c r="OS10" s="201"/>
      <c r="OT10" s="201"/>
      <c r="OU10" s="201"/>
      <c r="OV10" s="201"/>
      <c r="OW10" s="201"/>
      <c r="OX10" s="201"/>
      <c r="OY10" s="201"/>
      <c r="OZ10" s="201"/>
      <c r="PA10" s="201"/>
      <c r="PB10" s="201"/>
      <c r="PC10" s="201"/>
      <c r="PD10" s="201"/>
      <c r="PE10" s="201"/>
      <c r="PF10" s="201"/>
      <c r="PG10" s="201"/>
      <c r="PH10" s="201"/>
      <c r="PI10" s="201"/>
      <c r="PJ10" s="201"/>
      <c r="PK10" s="201"/>
      <c r="PL10" s="201"/>
      <c r="PM10" s="201"/>
      <c r="PN10" s="201"/>
      <c r="PO10" s="201"/>
      <c r="PP10" s="201"/>
      <c r="PQ10" s="201"/>
      <c r="PR10" s="201"/>
      <c r="PS10" s="201"/>
      <c r="PT10" s="201"/>
      <c r="PU10" s="201"/>
      <c r="PV10" s="201"/>
      <c r="PW10" s="201"/>
      <c r="PX10" s="201"/>
      <c r="PY10" s="201"/>
      <c r="PZ10" s="201"/>
      <c r="QA10" s="201"/>
      <c r="QB10" s="201"/>
      <c r="QC10" s="201"/>
      <c r="QD10" s="201"/>
      <c r="QE10" s="201"/>
      <c r="QF10" s="201"/>
      <c r="QG10" s="201"/>
      <c r="QH10" s="201"/>
      <c r="QI10" s="201"/>
      <c r="QJ10" s="201"/>
      <c r="QK10" s="201"/>
      <c r="QL10" s="201"/>
      <c r="QM10" s="201"/>
      <c r="QN10" s="201"/>
      <c r="QO10" s="201"/>
      <c r="QP10" s="201"/>
      <c r="QQ10" s="201"/>
      <c r="QR10" s="201"/>
      <c r="QS10" s="201"/>
      <c r="QT10" s="201"/>
      <c r="QU10" s="201"/>
      <c r="QV10" s="201"/>
      <c r="QW10" s="201"/>
      <c r="QX10" s="201"/>
      <c r="QY10" s="201"/>
      <c r="QZ10" s="201"/>
      <c r="RA10" s="201"/>
      <c r="RB10" s="201"/>
      <c r="RC10" s="201"/>
      <c r="RD10" s="201"/>
      <c r="RE10" s="201"/>
      <c r="RF10" s="201"/>
      <c r="RG10" s="201"/>
      <c r="RH10" s="201"/>
      <c r="RI10" s="201"/>
      <c r="RJ10" s="201"/>
      <c r="RK10" s="201"/>
      <c r="RL10" s="201"/>
      <c r="RM10" s="201"/>
      <c r="RN10" s="201"/>
      <c r="RO10" s="201"/>
      <c r="RP10" s="201"/>
      <c r="RQ10" s="201"/>
      <c r="RR10" s="201"/>
      <c r="RS10" s="201"/>
      <c r="RT10" s="201"/>
      <c r="RU10" s="201"/>
      <c r="RV10" s="201"/>
      <c r="RW10" s="201"/>
      <c r="RX10" s="201"/>
      <c r="RY10" s="201"/>
      <c r="RZ10" s="201"/>
      <c r="SA10" s="201"/>
      <c r="SB10" s="201"/>
      <c r="SC10" s="201"/>
      <c r="SD10" s="201"/>
      <c r="SE10" s="201"/>
      <c r="SF10" s="201"/>
      <c r="SG10" s="201"/>
      <c r="SH10" s="201"/>
      <c r="SI10" s="201"/>
      <c r="SJ10" s="201"/>
      <c r="SK10" s="201"/>
      <c r="SL10" s="201"/>
      <c r="SM10" s="201"/>
      <c r="SN10" s="201"/>
      <c r="SO10" s="201"/>
      <c r="SP10" s="201"/>
      <c r="SQ10" s="201"/>
      <c r="SR10" s="201"/>
      <c r="SS10" s="201"/>
      <c r="ST10" s="201"/>
      <c r="SU10" s="201"/>
      <c r="SV10" s="201"/>
      <c r="SW10" s="201"/>
      <c r="SX10" s="201"/>
      <c r="SY10" s="201"/>
      <c r="SZ10" s="201"/>
      <c r="TA10" s="201"/>
      <c r="TB10" s="201"/>
      <c r="TC10" s="201"/>
      <c r="TD10" s="201"/>
      <c r="TE10" s="201"/>
      <c r="TF10" s="201"/>
      <c r="TG10" s="201"/>
      <c r="TH10" s="201"/>
      <c r="TI10" s="201"/>
      <c r="TJ10" s="201"/>
      <c r="TK10" s="201"/>
      <c r="TL10" s="201"/>
      <c r="TM10" s="201"/>
      <c r="TN10" s="201"/>
      <c r="TO10" s="201"/>
      <c r="TP10" s="201"/>
      <c r="TQ10" s="201"/>
      <c r="TR10" s="201"/>
      <c r="TS10" s="201"/>
      <c r="TT10" s="201"/>
      <c r="TU10" s="201"/>
      <c r="TV10" s="201"/>
      <c r="TW10" s="201"/>
      <c r="TX10" s="201"/>
      <c r="TY10" s="201"/>
      <c r="TZ10" s="201"/>
      <c r="UA10" s="201"/>
      <c r="UB10" s="201"/>
      <c r="UC10" s="201"/>
      <c r="UD10" s="201"/>
      <c r="UE10" s="201"/>
      <c r="UF10" s="201"/>
      <c r="UG10" s="201"/>
      <c r="UH10" s="201"/>
      <c r="UI10" s="201"/>
      <c r="UJ10" s="201"/>
      <c r="UK10" s="201"/>
      <c r="UL10" s="201"/>
      <c r="UM10" s="201"/>
      <c r="UN10" s="201"/>
      <c r="UO10" s="201"/>
      <c r="UP10" s="201"/>
      <c r="UQ10" s="201"/>
      <c r="UR10" s="201"/>
      <c r="US10" s="201"/>
      <c r="UT10" s="201"/>
      <c r="UU10" s="201"/>
      <c r="UV10" s="201"/>
      <c r="UW10" s="201"/>
      <c r="UX10" s="201"/>
      <c r="UY10" s="201"/>
      <c r="UZ10" s="201"/>
      <c r="VA10" s="201"/>
      <c r="VB10" s="201"/>
      <c r="VC10" s="201"/>
      <c r="VD10" s="201"/>
      <c r="VE10" s="201"/>
      <c r="VF10" s="201"/>
      <c r="VG10" s="201"/>
      <c r="VH10" s="201"/>
      <c r="VI10" s="201"/>
      <c r="VJ10" s="201"/>
      <c r="VK10" s="201"/>
      <c r="VL10" s="201"/>
      <c r="VM10" s="201"/>
      <c r="VN10" s="201"/>
      <c r="VO10" s="201"/>
      <c r="VP10" s="201"/>
      <c r="VQ10" s="201"/>
      <c r="VR10" s="201"/>
      <c r="VS10" s="201"/>
      <c r="VT10" s="201"/>
      <c r="VU10" s="201"/>
      <c r="VV10" s="201"/>
      <c r="VW10" s="201"/>
      <c r="VX10" s="201"/>
      <c r="VY10" s="201"/>
      <c r="VZ10" s="201"/>
      <c r="WA10" s="201"/>
      <c r="WB10" s="201"/>
      <c r="WC10" s="201"/>
      <c r="WD10" s="201"/>
      <c r="WE10" s="201"/>
      <c r="WF10" s="201"/>
      <c r="WG10" s="201"/>
      <c r="WH10" s="201"/>
      <c r="WI10" s="201"/>
      <c r="WJ10" s="201"/>
      <c r="WK10" s="201"/>
      <c r="WL10" s="201"/>
      <c r="WM10" s="201"/>
      <c r="WN10" s="201"/>
      <c r="WO10" s="201"/>
      <c r="WP10" s="201"/>
      <c r="WQ10" s="201"/>
      <c r="WR10" s="201"/>
      <c r="WS10" s="201"/>
      <c r="WT10" s="201"/>
      <c r="WU10" s="201"/>
      <c r="WV10" s="201"/>
      <c r="WW10" s="201"/>
      <c r="WX10" s="201"/>
      <c r="WY10" s="201"/>
      <c r="WZ10" s="201"/>
      <c r="XA10" s="201"/>
      <c r="XB10" s="201"/>
      <c r="XC10" s="201"/>
      <c r="XD10" s="201"/>
      <c r="XE10" s="201"/>
      <c r="XF10" s="201"/>
      <c r="XG10" s="201"/>
      <c r="XH10" s="201"/>
      <c r="XI10" s="201"/>
      <c r="XJ10" s="201"/>
      <c r="XK10" s="201"/>
      <c r="XL10" s="201"/>
      <c r="XM10" s="201"/>
      <c r="XN10" s="201"/>
      <c r="XO10" s="201"/>
      <c r="XP10" s="201"/>
      <c r="XQ10" s="201"/>
      <c r="XR10" s="201"/>
      <c r="XS10" s="201"/>
      <c r="XT10" s="201"/>
      <c r="XU10" s="201"/>
      <c r="XV10" s="201"/>
      <c r="XW10" s="201"/>
      <c r="XX10" s="201"/>
      <c r="XY10" s="201"/>
      <c r="XZ10" s="201"/>
      <c r="YA10" s="201"/>
      <c r="YB10" s="201"/>
      <c r="YC10" s="201"/>
      <c r="YD10" s="201"/>
      <c r="YE10" s="201"/>
      <c r="YF10" s="201"/>
      <c r="YG10" s="201"/>
      <c r="YH10" s="201"/>
      <c r="YI10" s="201"/>
      <c r="YJ10" s="201"/>
      <c r="YK10" s="201"/>
      <c r="YL10" s="201"/>
      <c r="YM10" s="201"/>
      <c r="YN10" s="201"/>
      <c r="YO10" s="201"/>
      <c r="YP10" s="201"/>
      <c r="YQ10" s="201"/>
      <c r="YR10" s="201"/>
      <c r="YS10" s="201"/>
      <c r="YT10" s="201"/>
      <c r="YU10" s="201"/>
      <c r="YV10" s="201"/>
      <c r="YW10" s="201"/>
      <c r="YX10" s="201"/>
      <c r="YY10" s="201"/>
      <c r="YZ10" s="201"/>
      <c r="ZA10" s="201"/>
      <c r="ZB10" s="201"/>
      <c r="ZC10" s="201"/>
      <c r="ZD10" s="201"/>
      <c r="ZE10" s="201"/>
      <c r="ZF10" s="201"/>
      <c r="ZG10" s="201"/>
      <c r="ZH10" s="201"/>
      <c r="ZI10" s="201"/>
      <c r="ZJ10" s="201"/>
      <c r="ZK10" s="201"/>
      <c r="ZL10" s="201"/>
      <c r="ZM10" s="201"/>
      <c r="ZN10" s="201"/>
      <c r="ZO10" s="201"/>
      <c r="ZP10" s="201"/>
      <c r="ZQ10" s="201"/>
      <c r="ZR10" s="201"/>
      <c r="ZS10" s="201"/>
      <c r="ZT10" s="201"/>
      <c r="ZU10" s="201"/>
      <c r="ZV10" s="201"/>
      <c r="ZW10" s="201"/>
      <c r="ZX10" s="201"/>
      <c r="ZY10" s="201"/>
      <c r="ZZ10" s="201"/>
      <c r="AAA10" s="201"/>
      <c r="AAB10" s="201"/>
      <c r="AAC10" s="201"/>
      <c r="AAD10" s="201"/>
      <c r="AAE10" s="201"/>
      <c r="AAF10" s="201"/>
      <c r="AAG10" s="201"/>
      <c r="AAH10" s="201"/>
      <c r="AAI10" s="201"/>
      <c r="AAJ10" s="201"/>
      <c r="AAK10" s="201"/>
      <c r="AAL10" s="201"/>
      <c r="AAM10" s="201"/>
      <c r="AAN10" s="201"/>
      <c r="AAO10" s="201"/>
      <c r="AAP10" s="201"/>
      <c r="AAQ10" s="201"/>
      <c r="AAR10" s="201"/>
      <c r="AAS10" s="201"/>
      <c r="AAT10" s="201"/>
      <c r="AAU10" s="201"/>
      <c r="AAV10" s="201"/>
      <c r="AAW10" s="201"/>
      <c r="AAX10" s="201"/>
      <c r="AAY10" s="201"/>
      <c r="AAZ10" s="201"/>
      <c r="ABA10" s="201"/>
      <c r="ABB10" s="201"/>
      <c r="ABC10" s="201"/>
      <c r="ABD10" s="201"/>
      <c r="ABE10" s="201"/>
      <c r="ABF10" s="201"/>
      <c r="ABG10" s="201"/>
      <c r="ABH10" s="201"/>
      <c r="ABI10" s="201"/>
      <c r="ABJ10" s="201"/>
      <c r="ABK10" s="201"/>
      <c r="ABL10" s="201"/>
      <c r="ABM10" s="201"/>
      <c r="ABN10" s="201"/>
      <c r="ABO10" s="201"/>
      <c r="ABP10" s="201"/>
      <c r="ABQ10" s="201"/>
      <c r="ABR10" s="201"/>
      <c r="ABS10" s="201"/>
      <c r="ABT10" s="201"/>
      <c r="ABU10" s="201"/>
      <c r="ABV10" s="201"/>
      <c r="ABW10" s="201"/>
      <c r="ABX10" s="201"/>
      <c r="ABY10" s="201"/>
      <c r="ABZ10" s="201"/>
      <c r="ACA10" s="201"/>
      <c r="ACB10" s="201"/>
      <c r="ACC10" s="201"/>
      <c r="ACD10" s="201"/>
      <c r="ACE10" s="201"/>
      <c r="ACF10" s="201"/>
      <c r="ACG10" s="201"/>
      <c r="ACH10" s="201"/>
      <c r="ACI10" s="201"/>
      <c r="ACJ10" s="201"/>
      <c r="ACK10" s="201"/>
      <c r="ACL10" s="201"/>
      <c r="ACM10" s="201"/>
      <c r="ACN10" s="201"/>
      <c r="ACO10" s="201"/>
      <c r="ACP10" s="201"/>
      <c r="ACQ10" s="201"/>
      <c r="ACR10" s="201"/>
      <c r="ACS10" s="201"/>
      <c r="ACT10" s="201"/>
      <c r="ACU10" s="201"/>
      <c r="ACV10" s="201"/>
      <c r="ACW10" s="201"/>
      <c r="ACX10" s="201"/>
      <c r="ACY10" s="201"/>
      <c r="ACZ10" s="201"/>
      <c r="ADA10" s="201"/>
      <c r="ADB10" s="201"/>
      <c r="ADC10" s="201"/>
      <c r="ADD10" s="201"/>
      <c r="ADE10" s="201"/>
      <c r="ADF10" s="201"/>
      <c r="ADG10" s="201"/>
      <c r="ADH10" s="201"/>
      <c r="ADI10" s="201"/>
      <c r="ADJ10" s="201"/>
      <c r="ADK10" s="201"/>
      <c r="ADL10" s="201"/>
      <c r="ADM10" s="201"/>
      <c r="ADN10" s="201"/>
      <c r="ADO10" s="201"/>
      <c r="ADP10" s="201"/>
      <c r="ADQ10" s="201"/>
      <c r="ADR10" s="201"/>
      <c r="ADS10" s="201"/>
      <c r="ADT10" s="201"/>
      <c r="ADU10" s="201"/>
      <c r="ADV10" s="201"/>
      <c r="ADW10" s="201"/>
      <c r="ADX10" s="201"/>
      <c r="ADY10" s="201"/>
      <c r="ADZ10" s="201"/>
      <c r="AEA10" s="201"/>
      <c r="AEB10" s="201"/>
      <c r="AEC10" s="201"/>
      <c r="AED10" s="201"/>
      <c r="AEE10" s="201"/>
      <c r="AEF10" s="201"/>
      <c r="AEG10" s="201"/>
      <c r="AEH10" s="201"/>
      <c r="AEI10" s="201"/>
      <c r="AEJ10" s="201"/>
      <c r="AEK10" s="201"/>
      <c r="AEL10" s="201"/>
      <c r="AEM10" s="201"/>
      <c r="AEN10" s="201"/>
      <c r="AEO10" s="201"/>
      <c r="AEP10" s="201"/>
      <c r="AEQ10" s="201"/>
      <c r="AER10" s="201"/>
      <c r="AES10" s="201"/>
      <c r="AET10" s="201"/>
      <c r="AEU10" s="201"/>
      <c r="AEV10" s="201"/>
      <c r="AEW10" s="201"/>
      <c r="AEX10" s="201"/>
      <c r="AEY10" s="201"/>
      <c r="AEZ10" s="201"/>
      <c r="AFA10" s="201"/>
      <c r="AFB10" s="201"/>
      <c r="AFC10" s="201"/>
      <c r="AFD10" s="201"/>
      <c r="AFE10" s="201"/>
      <c r="AFF10" s="201"/>
      <c r="AFG10" s="201"/>
      <c r="AFH10" s="201"/>
      <c r="AFI10" s="201"/>
      <c r="AFJ10" s="201"/>
      <c r="AFK10" s="201"/>
      <c r="AFL10" s="201"/>
      <c r="AFM10" s="201"/>
      <c r="AFN10" s="201"/>
      <c r="AFO10" s="201"/>
      <c r="AFP10" s="201"/>
      <c r="AFQ10" s="201"/>
      <c r="AFR10" s="201"/>
      <c r="AFS10" s="201"/>
      <c r="AFT10" s="201"/>
      <c r="AFU10" s="201"/>
      <c r="AFV10" s="201"/>
      <c r="AFW10" s="201"/>
      <c r="AFX10" s="201"/>
      <c r="AFY10" s="201"/>
      <c r="AFZ10" s="201"/>
      <c r="AGA10" s="201"/>
      <c r="AGB10" s="201"/>
      <c r="AGC10" s="201"/>
      <c r="AGD10" s="201"/>
      <c r="AGE10" s="201"/>
      <c r="AGF10" s="201"/>
      <c r="AGG10" s="201"/>
      <c r="AGH10" s="201"/>
      <c r="AGI10" s="201"/>
      <c r="AGJ10" s="201"/>
      <c r="AGK10" s="201"/>
      <c r="AGL10" s="201"/>
      <c r="AGM10" s="201"/>
      <c r="AGN10" s="201"/>
      <c r="AGO10" s="201"/>
      <c r="AGP10" s="201"/>
      <c r="AGQ10" s="201"/>
      <c r="AGR10" s="201"/>
      <c r="AGS10" s="201"/>
      <c r="AGT10" s="201"/>
      <c r="AGU10" s="201"/>
      <c r="AGV10" s="201"/>
      <c r="AGW10" s="201"/>
      <c r="AGX10" s="201"/>
      <c r="AGY10" s="201"/>
      <c r="AGZ10" s="201"/>
      <c r="AHA10" s="201"/>
      <c r="AHB10" s="201"/>
      <c r="AHC10" s="201"/>
      <c r="AHD10" s="201"/>
      <c r="AHE10" s="201"/>
      <c r="AHF10" s="201"/>
      <c r="AHG10" s="201"/>
      <c r="AHH10" s="201"/>
      <c r="AHI10" s="201"/>
      <c r="AHJ10" s="201"/>
      <c r="AHK10" s="201"/>
      <c r="AHL10" s="201"/>
      <c r="AHM10" s="201"/>
      <c r="AHN10" s="201"/>
      <c r="AHO10" s="201"/>
      <c r="AHP10" s="201"/>
      <c r="AHQ10" s="201"/>
      <c r="AHR10" s="201"/>
      <c r="AHS10" s="201"/>
      <c r="AHT10" s="201"/>
      <c r="AHU10" s="201"/>
      <c r="AHV10" s="201"/>
      <c r="AHW10" s="201"/>
      <c r="AHX10" s="201"/>
      <c r="AHY10" s="201"/>
      <c r="AHZ10" s="201"/>
      <c r="AIA10" s="201"/>
      <c r="AIB10" s="201"/>
      <c r="AIC10" s="201"/>
      <c r="AID10" s="201"/>
      <c r="AIE10" s="201"/>
      <c r="AIF10" s="201"/>
      <c r="AIG10" s="201"/>
      <c r="AIH10" s="201"/>
      <c r="AII10" s="201"/>
      <c r="AIJ10" s="201"/>
      <c r="AIK10" s="201"/>
      <c r="AIL10" s="201"/>
      <c r="AIM10" s="201"/>
      <c r="AIN10" s="201"/>
      <c r="AIO10" s="201"/>
      <c r="AIP10" s="201"/>
      <c r="AIQ10" s="201"/>
      <c r="AIR10" s="201"/>
      <c r="AIS10" s="201"/>
      <c r="AIT10" s="201"/>
      <c r="AIU10" s="201"/>
      <c r="AIV10" s="201"/>
      <c r="AIW10" s="201"/>
      <c r="AIX10" s="201"/>
      <c r="AIY10" s="201"/>
      <c r="AIZ10" s="201"/>
      <c r="AJA10" s="201"/>
      <c r="AJB10" s="201"/>
      <c r="AJC10" s="201"/>
      <c r="AJD10" s="201"/>
      <c r="AJE10" s="201"/>
      <c r="AJF10" s="201"/>
      <c r="AJG10" s="201"/>
      <c r="AJH10" s="201"/>
      <c r="AJI10" s="201"/>
      <c r="AJJ10" s="201"/>
      <c r="AJK10" s="201"/>
      <c r="AJL10" s="201"/>
      <c r="AJM10" s="201"/>
      <c r="AJN10" s="201"/>
      <c r="AJO10" s="201"/>
      <c r="AJP10" s="201"/>
      <c r="AJQ10" s="201"/>
      <c r="AJR10" s="201"/>
      <c r="AJS10" s="201"/>
      <c r="AJT10" s="201"/>
      <c r="AJU10" s="201"/>
      <c r="AJV10" s="201"/>
      <c r="AJW10" s="201"/>
      <c r="AJX10" s="201"/>
      <c r="AJY10" s="201"/>
      <c r="AJZ10" s="201"/>
      <c r="AKA10" s="201"/>
      <c r="AKB10" s="201"/>
      <c r="AKC10" s="201"/>
      <c r="AKD10" s="201"/>
      <c r="AKE10" s="201"/>
      <c r="AKF10" s="201"/>
      <c r="AKG10" s="201"/>
      <c r="AKH10" s="201"/>
      <c r="AKI10" s="201"/>
      <c r="AKJ10" s="201"/>
      <c r="AKK10" s="201"/>
      <c r="AKL10" s="201"/>
      <c r="AKM10" s="201"/>
      <c r="AKN10" s="201"/>
      <c r="AKO10" s="201"/>
      <c r="AKP10" s="201"/>
      <c r="AKQ10" s="201"/>
      <c r="AKR10" s="201"/>
      <c r="AKS10" s="201"/>
      <c r="AKT10" s="201"/>
      <c r="AKU10" s="201"/>
      <c r="AKV10" s="201"/>
      <c r="AKW10" s="201"/>
      <c r="AKX10" s="201"/>
      <c r="AKY10" s="201"/>
      <c r="AKZ10" s="201"/>
      <c r="ALA10" s="201"/>
      <c r="ALB10" s="201"/>
      <c r="ALC10" s="201"/>
      <c r="ALD10" s="201"/>
      <c r="ALE10" s="201"/>
      <c r="ALF10" s="201"/>
      <c r="ALG10" s="201"/>
      <c r="ALH10" s="201"/>
      <c r="ALI10" s="201"/>
      <c r="ALJ10" s="201"/>
      <c r="ALK10" s="201"/>
      <c r="ALL10" s="201"/>
      <c r="ALM10" s="201"/>
      <c r="ALN10" s="201"/>
      <c r="ALO10" s="201"/>
      <c r="ALP10" s="201"/>
      <c r="ALQ10" s="201"/>
      <c r="ALR10" s="201"/>
      <c r="ALS10" s="201"/>
      <c r="ALT10" s="201"/>
      <c r="ALU10" s="201"/>
      <c r="ALV10" s="201"/>
      <c r="ALW10" s="201"/>
      <c r="ALX10" s="201"/>
      <c r="ALY10" s="201"/>
      <c r="ALZ10" s="201"/>
      <c r="AMA10" s="201"/>
      <c r="AMB10" s="201"/>
      <c r="AMC10" s="201"/>
      <c r="AMD10" s="201"/>
      <c r="AME10" s="201"/>
      <c r="AMF10" s="201"/>
      <c r="AMG10" s="201"/>
      <c r="AMH10" s="201"/>
      <c r="AMI10" s="201"/>
      <c r="AMJ10" s="201"/>
      <c r="AMK10" s="201"/>
      <c r="AML10" s="201"/>
      <c r="AMM10" s="201"/>
      <c r="AMN10" s="201"/>
      <c r="AMO10" s="201"/>
      <c r="AMP10" s="201"/>
      <c r="AMQ10" s="201"/>
      <c r="AMR10" s="201"/>
      <c r="AMS10" s="201"/>
      <c r="AMT10" s="201"/>
      <c r="AMU10" s="201"/>
      <c r="AMV10" s="201"/>
      <c r="AMW10" s="201"/>
      <c r="AMX10" s="201"/>
      <c r="AMY10" s="201"/>
      <c r="AMZ10" s="201"/>
      <c r="ANA10" s="201"/>
      <c r="ANB10" s="201"/>
      <c r="ANC10" s="201"/>
      <c r="AND10" s="201"/>
      <c r="ANE10" s="201"/>
      <c r="ANF10" s="201"/>
      <c r="ANG10" s="201"/>
      <c r="ANH10" s="201"/>
      <c r="ANI10" s="201"/>
      <c r="ANJ10" s="201"/>
      <c r="ANK10" s="201"/>
      <c r="ANL10" s="201"/>
      <c r="ANM10" s="201"/>
      <c r="ANN10" s="201"/>
      <c r="ANO10" s="201"/>
      <c r="ANP10" s="201"/>
      <c r="ANQ10" s="201"/>
      <c r="ANR10" s="201"/>
      <c r="ANS10" s="201"/>
      <c r="ANT10" s="201"/>
      <c r="ANU10" s="201"/>
      <c r="ANV10" s="201"/>
      <c r="ANW10" s="201"/>
      <c r="ANX10" s="201"/>
      <c r="ANY10" s="201"/>
      <c r="ANZ10" s="201"/>
      <c r="AOA10" s="201"/>
      <c r="AOB10" s="201"/>
      <c r="AOC10" s="201"/>
      <c r="AOD10" s="201"/>
      <c r="AOE10" s="201"/>
      <c r="AOF10" s="201"/>
      <c r="AOG10" s="201"/>
      <c r="AOH10" s="201"/>
      <c r="AOI10" s="201"/>
      <c r="AOJ10" s="201"/>
      <c r="AOK10" s="201"/>
      <c r="AOL10" s="201"/>
      <c r="AOM10" s="201"/>
      <c r="AON10" s="201"/>
      <c r="AOO10" s="201"/>
      <c r="AOP10" s="201"/>
      <c r="AOQ10" s="201"/>
      <c r="AOR10" s="201"/>
      <c r="AOS10" s="201"/>
      <c r="AOT10" s="201"/>
      <c r="AOU10" s="201"/>
      <c r="AOV10" s="201"/>
      <c r="AOW10" s="201"/>
      <c r="AOX10" s="201"/>
      <c r="AOY10" s="201"/>
      <c r="AOZ10" s="201"/>
      <c r="APA10" s="201"/>
      <c r="APB10" s="201"/>
      <c r="APC10" s="201"/>
      <c r="APD10" s="201"/>
      <c r="APE10" s="201"/>
      <c r="APF10" s="201"/>
      <c r="APG10" s="201"/>
      <c r="APH10" s="201"/>
      <c r="API10" s="201"/>
      <c r="APJ10" s="201"/>
      <c r="APK10" s="201"/>
      <c r="APL10" s="201"/>
      <c r="APM10" s="201"/>
      <c r="APN10" s="201"/>
      <c r="APO10" s="201"/>
      <c r="APP10" s="201"/>
      <c r="APQ10" s="201"/>
      <c r="APR10" s="201"/>
      <c r="APS10" s="201"/>
      <c r="APT10" s="201"/>
      <c r="APU10" s="201"/>
      <c r="APV10" s="201"/>
      <c r="APW10" s="201"/>
      <c r="APX10" s="201"/>
      <c r="APY10" s="201"/>
      <c r="APZ10" s="201"/>
      <c r="AQA10" s="201"/>
      <c r="AQB10" s="201"/>
      <c r="AQC10" s="201"/>
      <c r="AQD10" s="201"/>
      <c r="AQE10" s="201"/>
      <c r="AQF10" s="201"/>
      <c r="AQG10" s="201"/>
      <c r="AQH10" s="201"/>
      <c r="AQI10" s="201"/>
      <c r="AQJ10" s="201"/>
      <c r="AQK10" s="201"/>
      <c r="AQL10" s="201"/>
      <c r="AQM10" s="201"/>
      <c r="AQN10" s="201"/>
      <c r="AQO10" s="201"/>
      <c r="AQP10" s="201"/>
      <c r="AQQ10" s="201"/>
      <c r="AQR10" s="201"/>
      <c r="AQS10" s="201"/>
      <c r="AQT10" s="201"/>
      <c r="AQU10" s="201"/>
      <c r="AQV10" s="201"/>
      <c r="AQW10" s="201"/>
      <c r="AQX10" s="201"/>
      <c r="AQY10" s="201"/>
      <c r="AQZ10" s="201"/>
      <c r="ARA10" s="201"/>
      <c r="ARB10" s="90"/>
    </row>
    <row r="11" spans="1:1146" ht="20.100000000000001" customHeight="1" x14ac:dyDescent="0.25">
      <c r="B11" s="96"/>
      <c r="C11" s="229"/>
      <c r="D11" s="229"/>
      <c r="E11" s="229"/>
      <c r="F11" s="225" t="s">
        <v>61</v>
      </c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225"/>
      <c r="BJ11" s="225"/>
      <c r="BK11" s="225"/>
      <c r="BL11" s="225"/>
      <c r="BM11" s="225"/>
      <c r="BN11" s="225" t="s">
        <v>61</v>
      </c>
      <c r="BO11" s="225"/>
      <c r="BP11" s="225"/>
      <c r="BQ11" s="225"/>
      <c r="BR11" s="225"/>
      <c r="BS11" s="225"/>
      <c r="BT11" s="225"/>
      <c r="BU11" s="225"/>
      <c r="BV11" s="225"/>
      <c r="BW11" s="225"/>
      <c r="BX11" s="225"/>
      <c r="BY11" s="225"/>
      <c r="BZ11" s="225"/>
      <c r="CA11" s="225"/>
      <c r="CB11" s="225"/>
      <c r="CC11" s="225"/>
      <c r="CD11" s="225"/>
      <c r="CE11" s="225"/>
      <c r="CF11" s="225"/>
      <c r="CG11" s="225"/>
      <c r="CH11" s="225"/>
      <c r="CI11" s="225"/>
      <c r="CJ11" s="225"/>
      <c r="CK11" s="225"/>
      <c r="CL11" s="225"/>
      <c r="CM11" s="225"/>
      <c r="CN11" s="225"/>
      <c r="CO11" s="225"/>
      <c r="CP11" s="225"/>
      <c r="CQ11" s="225"/>
      <c r="CR11" s="225"/>
      <c r="CS11" s="225"/>
      <c r="CT11" s="225"/>
      <c r="CU11" s="225"/>
      <c r="CV11" s="225"/>
      <c r="CW11" s="225"/>
      <c r="CX11" s="225"/>
      <c r="CY11" s="225"/>
      <c r="CZ11" s="225"/>
      <c r="DA11" s="225"/>
      <c r="DB11" s="225"/>
      <c r="DC11" s="225"/>
      <c r="DD11" s="225"/>
      <c r="DE11" s="225"/>
      <c r="DF11" s="225"/>
      <c r="DG11" s="225"/>
      <c r="DH11" s="225"/>
      <c r="DI11" s="225"/>
      <c r="DJ11" s="225"/>
      <c r="DK11" s="225"/>
      <c r="DL11" s="225"/>
      <c r="DM11" s="225"/>
      <c r="DN11" s="225"/>
      <c r="DO11" s="225"/>
      <c r="DP11" s="225"/>
      <c r="DQ11" s="225"/>
      <c r="DR11" s="225"/>
      <c r="DS11" s="225"/>
      <c r="DT11" s="225"/>
      <c r="DU11" s="225"/>
      <c r="DV11" s="202" t="s">
        <v>62</v>
      </c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 t="s">
        <v>63</v>
      </c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  <c r="HA11" s="202"/>
      <c r="HB11" s="202"/>
      <c r="HC11" s="202"/>
      <c r="HD11" s="202"/>
      <c r="HE11" s="202"/>
      <c r="HF11" s="202"/>
      <c r="HG11" s="202"/>
      <c r="HH11" s="202"/>
      <c r="HI11" s="202"/>
      <c r="HJ11" s="202"/>
      <c r="HK11" s="202"/>
      <c r="HL11" s="202"/>
      <c r="HM11" s="202"/>
      <c r="HN11" s="202"/>
      <c r="HO11" s="202"/>
      <c r="HP11" s="202"/>
      <c r="HQ11" s="202"/>
      <c r="HR11" s="202"/>
      <c r="HS11" s="202"/>
      <c r="HT11" s="202"/>
      <c r="HU11" s="202"/>
      <c r="HV11" s="202"/>
      <c r="HW11" s="202"/>
      <c r="HX11" s="202"/>
      <c r="HY11" s="202"/>
      <c r="HZ11" s="202"/>
      <c r="IA11" s="202"/>
      <c r="IB11" s="202"/>
      <c r="IC11" s="202"/>
      <c r="ID11" s="202"/>
      <c r="IE11" s="202"/>
      <c r="IF11" s="202"/>
      <c r="IG11" s="202"/>
      <c r="IH11" s="202"/>
      <c r="II11" s="202"/>
      <c r="IJ11" s="202"/>
      <c r="IK11" s="202"/>
      <c r="IL11" s="202" t="s">
        <v>63</v>
      </c>
      <c r="IM11" s="202"/>
      <c r="IN11" s="202"/>
      <c r="IO11" s="202"/>
      <c r="IP11" s="202"/>
      <c r="IQ11" s="202"/>
      <c r="IR11" s="202"/>
      <c r="IS11" s="202"/>
      <c r="IT11" s="202"/>
      <c r="IU11" s="202"/>
      <c r="IV11" s="202"/>
      <c r="IW11" s="202"/>
      <c r="IX11" s="202"/>
      <c r="IY11" s="202"/>
      <c r="IZ11" s="202"/>
      <c r="JA11" s="202"/>
      <c r="JB11" s="202"/>
      <c r="JC11" s="202"/>
      <c r="JD11" s="202"/>
      <c r="JE11" s="202"/>
      <c r="JF11" s="202"/>
      <c r="JG11" s="202"/>
      <c r="JH11" s="202"/>
      <c r="JI11" s="202"/>
      <c r="JJ11" s="202"/>
      <c r="JK11" s="202"/>
      <c r="JL11" s="202"/>
      <c r="JM11" s="202"/>
      <c r="JN11" s="202"/>
      <c r="JO11" s="202"/>
      <c r="JP11" s="202"/>
      <c r="JQ11" s="202"/>
      <c r="JR11" s="202"/>
      <c r="JS11" s="202"/>
      <c r="JT11" s="202"/>
      <c r="JU11" s="202"/>
      <c r="JV11" s="202"/>
      <c r="JW11" s="202"/>
      <c r="JX11" s="202"/>
      <c r="JY11" s="202"/>
      <c r="JZ11" s="202"/>
      <c r="KA11" s="202"/>
      <c r="KB11" s="202"/>
      <c r="KC11" s="202"/>
      <c r="KD11" s="202"/>
      <c r="KE11" s="202"/>
      <c r="KF11" s="202"/>
      <c r="KG11" s="202"/>
      <c r="KH11" s="202"/>
      <c r="KI11" s="202"/>
      <c r="KJ11" s="202"/>
      <c r="KK11" s="202"/>
      <c r="KL11" s="202"/>
      <c r="KM11" s="202"/>
      <c r="KN11" s="202"/>
      <c r="KO11" s="202"/>
      <c r="KP11" s="202"/>
      <c r="KQ11" s="202"/>
      <c r="KR11" s="202"/>
      <c r="KS11" s="202"/>
      <c r="KT11" s="202" t="s">
        <v>64</v>
      </c>
      <c r="KU11" s="202"/>
      <c r="KV11" s="202"/>
      <c r="KW11" s="202"/>
      <c r="KX11" s="202"/>
      <c r="KY11" s="202"/>
      <c r="KZ11" s="202"/>
      <c r="LA11" s="202"/>
      <c r="LB11" s="202"/>
      <c r="LC11" s="202"/>
      <c r="LD11" s="202"/>
      <c r="LE11" s="202"/>
      <c r="LF11" s="202"/>
      <c r="LG11" s="202"/>
      <c r="LH11" s="202"/>
      <c r="LI11" s="202"/>
      <c r="LJ11" s="202"/>
      <c r="LK11" s="202"/>
      <c r="LL11" s="202"/>
      <c r="LM11" s="202"/>
      <c r="LN11" s="202"/>
      <c r="LO11" s="202"/>
      <c r="LP11" s="202"/>
      <c r="LQ11" s="202"/>
      <c r="LR11" s="202"/>
      <c r="LS11" s="202"/>
      <c r="LT11" s="202"/>
      <c r="LU11" s="202"/>
      <c r="LV11" s="202"/>
      <c r="LW11" s="202"/>
      <c r="LX11" s="202"/>
      <c r="LY11" s="202"/>
      <c r="LZ11" s="202"/>
      <c r="MA11" s="202"/>
      <c r="MB11" s="202"/>
      <c r="MC11" s="202"/>
      <c r="MD11" s="202"/>
      <c r="ME11" s="202"/>
      <c r="MF11" s="202"/>
      <c r="MG11" s="202"/>
      <c r="MH11" s="202"/>
      <c r="MI11" s="202"/>
      <c r="MJ11" s="202"/>
      <c r="MK11" s="202"/>
      <c r="ML11" s="202"/>
      <c r="MM11" s="202"/>
      <c r="MN11" s="202"/>
      <c r="MO11" s="202"/>
      <c r="MP11" s="202"/>
      <c r="MQ11" s="202"/>
      <c r="MR11" s="202"/>
      <c r="MS11" s="202"/>
      <c r="MT11" s="202"/>
      <c r="MU11" s="202"/>
      <c r="MV11" s="202"/>
      <c r="MW11" s="202"/>
      <c r="MX11" s="202"/>
      <c r="MY11" s="202"/>
      <c r="MZ11" s="202"/>
      <c r="NA11" s="202"/>
      <c r="NB11" s="202" t="s">
        <v>64</v>
      </c>
      <c r="NC11" s="202"/>
      <c r="ND11" s="202"/>
      <c r="NE11" s="202"/>
      <c r="NF11" s="202"/>
      <c r="NG11" s="202"/>
      <c r="NH11" s="202"/>
      <c r="NI11" s="202"/>
      <c r="NJ11" s="202"/>
      <c r="NK11" s="202"/>
      <c r="NL11" s="202"/>
      <c r="NM11" s="202"/>
      <c r="NN11" s="202"/>
      <c r="NO11" s="202"/>
      <c r="NP11" s="202"/>
      <c r="NQ11" s="202"/>
      <c r="NR11" s="202"/>
      <c r="NS11" s="202"/>
      <c r="NT11" s="202"/>
      <c r="NU11" s="202"/>
      <c r="NV11" s="202"/>
      <c r="NW11" s="202"/>
      <c r="NX11" s="202"/>
      <c r="NY11" s="202"/>
      <c r="NZ11" s="202"/>
      <c r="OA11" s="202"/>
      <c r="OB11" s="202"/>
      <c r="OC11" s="202"/>
      <c r="OD11" s="202"/>
      <c r="OE11" s="202"/>
      <c r="OF11" s="202"/>
      <c r="OG11" s="202"/>
      <c r="OH11" s="202"/>
      <c r="OI11" s="202"/>
      <c r="OJ11" s="202"/>
      <c r="OK11" s="202"/>
      <c r="OL11" s="202"/>
      <c r="OM11" s="202"/>
      <c r="ON11" s="202"/>
      <c r="OO11" s="202"/>
      <c r="OP11" s="202"/>
      <c r="OQ11" s="202"/>
      <c r="OR11" s="202"/>
      <c r="OS11" s="202"/>
      <c r="OT11" s="202"/>
      <c r="OU11" s="202"/>
      <c r="OV11" s="202"/>
      <c r="OW11" s="202"/>
      <c r="OX11" s="202"/>
      <c r="OY11" s="202"/>
      <c r="OZ11" s="202"/>
      <c r="PA11" s="202"/>
      <c r="PB11" s="202"/>
      <c r="PC11" s="202"/>
      <c r="PD11" s="202"/>
      <c r="PE11" s="202"/>
      <c r="PF11" s="202"/>
      <c r="PG11" s="202"/>
      <c r="PH11" s="202"/>
      <c r="PI11" s="202"/>
      <c r="PJ11" s="202" t="s">
        <v>81</v>
      </c>
      <c r="PK11" s="202"/>
      <c r="PL11" s="202"/>
      <c r="PM11" s="202"/>
      <c r="PN11" s="202"/>
      <c r="PO11" s="202"/>
      <c r="PP11" s="202"/>
      <c r="PQ11" s="202"/>
      <c r="PR11" s="202"/>
      <c r="PS11" s="202"/>
      <c r="PT11" s="202"/>
      <c r="PU11" s="202"/>
      <c r="PV11" s="202"/>
      <c r="PW11" s="202"/>
      <c r="PX11" s="202"/>
      <c r="PY11" s="202"/>
      <c r="PZ11" s="202"/>
      <c r="QA11" s="202"/>
      <c r="QB11" s="202"/>
      <c r="QC11" s="202"/>
      <c r="QD11" s="202"/>
      <c r="QE11" s="202"/>
      <c r="QF11" s="202"/>
      <c r="QG11" s="202"/>
      <c r="QH11" s="202"/>
      <c r="QI11" s="202"/>
      <c r="QJ11" s="202"/>
      <c r="QK11" s="202"/>
      <c r="QL11" s="202"/>
      <c r="QM11" s="202"/>
      <c r="QN11" s="202"/>
      <c r="QO11" s="202"/>
      <c r="QP11" s="202"/>
      <c r="QQ11" s="202"/>
      <c r="QR11" s="202"/>
      <c r="QS11" s="202"/>
      <c r="QT11" s="202"/>
      <c r="QU11" s="202"/>
      <c r="QV11" s="202"/>
      <c r="QW11" s="202"/>
      <c r="QX11" s="202"/>
      <c r="QY11" s="202"/>
      <c r="QZ11" s="202"/>
      <c r="RA11" s="202"/>
      <c r="RB11" s="202"/>
      <c r="RC11" s="202"/>
      <c r="RD11" s="202"/>
      <c r="RE11" s="202"/>
      <c r="RF11" s="202"/>
      <c r="RG11" s="202"/>
      <c r="RH11" s="202"/>
      <c r="RI11" s="202"/>
      <c r="RJ11" s="202"/>
      <c r="RK11" s="202"/>
      <c r="RL11" s="202"/>
      <c r="RM11" s="202"/>
      <c r="RN11" s="202"/>
      <c r="RO11" s="202"/>
      <c r="RP11" s="202"/>
      <c r="RQ11" s="202"/>
      <c r="RR11" s="202" t="s">
        <v>83</v>
      </c>
      <c r="RS11" s="202"/>
      <c r="RT11" s="202"/>
      <c r="RU11" s="202"/>
      <c r="RV11" s="202"/>
      <c r="RW11" s="202"/>
      <c r="RX11" s="202"/>
      <c r="RY11" s="202"/>
      <c r="RZ11" s="202"/>
      <c r="SA11" s="202"/>
      <c r="SB11" s="202"/>
      <c r="SC11" s="202"/>
      <c r="SD11" s="202"/>
      <c r="SE11" s="202"/>
      <c r="SF11" s="202"/>
      <c r="SG11" s="202"/>
      <c r="SH11" s="202"/>
      <c r="SI11" s="202"/>
      <c r="SJ11" s="202"/>
      <c r="SK11" s="202"/>
      <c r="SL11" s="202"/>
      <c r="SM11" s="202"/>
      <c r="SN11" s="202"/>
      <c r="SO11" s="202"/>
      <c r="SP11" s="202"/>
      <c r="SQ11" s="202"/>
      <c r="SR11" s="202"/>
      <c r="SS11" s="202"/>
      <c r="ST11" s="202"/>
      <c r="SU11" s="202"/>
      <c r="SV11" s="202"/>
      <c r="SW11" s="202"/>
      <c r="SX11" s="202"/>
      <c r="SY11" s="202"/>
      <c r="SZ11" s="202"/>
      <c r="TA11" s="202"/>
      <c r="TB11" s="202"/>
      <c r="TC11" s="202"/>
      <c r="TD11" s="202"/>
      <c r="TE11" s="202"/>
      <c r="TF11" s="202"/>
      <c r="TG11" s="202"/>
      <c r="TH11" s="202"/>
      <c r="TI11" s="202"/>
      <c r="TJ11" s="202"/>
      <c r="TK11" s="202"/>
      <c r="TL11" s="202"/>
      <c r="TM11" s="202"/>
      <c r="TN11" s="202"/>
      <c r="TO11" s="202"/>
      <c r="TP11" s="202"/>
      <c r="TQ11" s="202"/>
      <c r="TR11" s="202"/>
      <c r="TS11" s="202"/>
      <c r="TT11" s="202"/>
      <c r="TU11" s="202"/>
      <c r="TV11" s="202"/>
      <c r="TW11" s="202"/>
      <c r="TX11" s="202"/>
      <c r="TY11" s="202"/>
      <c r="TZ11" s="202" t="s">
        <v>83</v>
      </c>
      <c r="UA11" s="202"/>
      <c r="UB11" s="202"/>
      <c r="UC11" s="202"/>
      <c r="UD11" s="202"/>
      <c r="UE11" s="202"/>
      <c r="UF11" s="202"/>
      <c r="UG11" s="202"/>
      <c r="UH11" s="202"/>
      <c r="UI11" s="202"/>
      <c r="UJ11" s="202"/>
      <c r="UK11" s="202"/>
      <c r="UL11" s="202"/>
      <c r="UM11" s="202"/>
      <c r="UN11" s="202"/>
      <c r="UO11" s="202"/>
      <c r="UP11" s="202"/>
      <c r="UQ11" s="202"/>
      <c r="UR11" s="202"/>
      <c r="US11" s="202"/>
      <c r="UT11" s="202"/>
      <c r="UU11" s="202"/>
      <c r="UV11" s="202"/>
      <c r="UW11" s="202"/>
      <c r="UX11" s="202"/>
      <c r="UY11" s="202"/>
      <c r="UZ11" s="202"/>
      <c r="VA11" s="202"/>
      <c r="VB11" s="202"/>
      <c r="VC11" s="202"/>
      <c r="VD11" s="202"/>
      <c r="VE11" s="202"/>
      <c r="VF11" s="202"/>
      <c r="VG11" s="202"/>
      <c r="VH11" s="202"/>
      <c r="VI11" s="202"/>
      <c r="VJ11" s="202"/>
      <c r="VK11" s="202"/>
      <c r="VL11" s="202"/>
      <c r="VM11" s="202"/>
      <c r="VN11" s="202"/>
      <c r="VO11" s="202"/>
      <c r="VP11" s="202"/>
      <c r="VQ11" s="202"/>
      <c r="VR11" s="202"/>
      <c r="VS11" s="202"/>
      <c r="VT11" s="202"/>
      <c r="VU11" s="202"/>
      <c r="VV11" s="202"/>
      <c r="VW11" s="202"/>
      <c r="VX11" s="202"/>
      <c r="VY11" s="202"/>
      <c r="VZ11" s="202"/>
      <c r="WA11" s="202"/>
      <c r="WB11" s="202"/>
      <c r="WC11" s="202"/>
      <c r="WD11" s="202"/>
      <c r="WE11" s="202"/>
      <c r="WF11" s="202"/>
      <c r="WG11" s="202"/>
      <c r="WH11" s="202" t="s">
        <v>98</v>
      </c>
      <c r="WI11" s="202"/>
      <c r="WJ11" s="202"/>
      <c r="WK11" s="202"/>
      <c r="WL11" s="202"/>
      <c r="WM11" s="202"/>
      <c r="WN11" s="202"/>
      <c r="WO11" s="202"/>
      <c r="WP11" s="202"/>
      <c r="WQ11" s="202"/>
      <c r="WR11" s="202"/>
      <c r="WS11" s="202"/>
      <c r="WT11" s="202"/>
      <c r="WU11" s="202"/>
      <c r="WV11" s="202"/>
      <c r="WW11" s="202"/>
      <c r="WX11" s="202"/>
      <c r="WY11" s="202"/>
      <c r="WZ11" s="202"/>
      <c r="XA11" s="202"/>
      <c r="XB11" s="202"/>
      <c r="XC11" s="202"/>
      <c r="XD11" s="202"/>
      <c r="XE11" s="202"/>
      <c r="XF11" s="202"/>
      <c r="XG11" s="202"/>
      <c r="XH11" s="202"/>
      <c r="XI11" s="202"/>
      <c r="XJ11" s="202"/>
      <c r="XK11" s="202"/>
      <c r="XL11" s="202"/>
      <c r="XM11" s="202"/>
      <c r="XN11" s="202"/>
      <c r="XO11" s="202"/>
      <c r="XP11" s="202"/>
      <c r="XQ11" s="202"/>
      <c r="XR11" s="202"/>
      <c r="XS11" s="202"/>
      <c r="XT11" s="202"/>
      <c r="XU11" s="202"/>
      <c r="XV11" s="202"/>
      <c r="XW11" s="202"/>
      <c r="XX11" s="202"/>
      <c r="XY11" s="202"/>
      <c r="XZ11" s="202"/>
      <c r="YA11" s="202"/>
      <c r="YB11" s="202"/>
      <c r="YC11" s="202"/>
      <c r="YD11" s="202"/>
      <c r="YE11" s="202"/>
      <c r="YF11" s="202"/>
      <c r="YG11" s="202"/>
      <c r="YH11" s="202"/>
      <c r="YI11" s="202"/>
      <c r="YJ11" s="202"/>
      <c r="YK11" s="202"/>
      <c r="YL11" s="202"/>
      <c r="YM11" s="202"/>
      <c r="YN11" s="202"/>
      <c r="YO11" s="202"/>
      <c r="YP11" s="202" t="s">
        <v>98</v>
      </c>
      <c r="YQ11" s="202"/>
      <c r="YR11" s="202"/>
      <c r="YS11" s="202"/>
      <c r="YT11" s="202"/>
      <c r="YU11" s="202"/>
      <c r="YV11" s="202"/>
      <c r="YW11" s="202"/>
      <c r="YX11" s="202"/>
      <c r="YY11" s="202"/>
      <c r="YZ11" s="202"/>
      <c r="ZA11" s="202"/>
      <c r="ZB11" s="202"/>
      <c r="ZC11" s="202"/>
      <c r="ZD11" s="202"/>
      <c r="ZE11" s="202"/>
      <c r="ZF11" s="202"/>
      <c r="ZG11" s="202"/>
      <c r="ZH11" s="202"/>
      <c r="ZI11" s="202"/>
      <c r="ZJ11" s="202"/>
      <c r="ZK11" s="202"/>
      <c r="ZL11" s="202"/>
      <c r="ZM11" s="202"/>
      <c r="ZN11" s="202"/>
      <c r="ZO11" s="202"/>
      <c r="ZP11" s="202"/>
      <c r="ZQ11" s="202"/>
      <c r="ZR11" s="202"/>
      <c r="ZS11" s="202"/>
      <c r="ZT11" s="202"/>
      <c r="ZU11" s="202"/>
      <c r="ZV11" s="202"/>
      <c r="ZW11" s="202"/>
      <c r="ZX11" s="202"/>
      <c r="ZY11" s="202"/>
      <c r="ZZ11" s="202"/>
      <c r="AAA11" s="202"/>
      <c r="AAB11" s="202"/>
      <c r="AAC11" s="202"/>
      <c r="AAD11" s="202"/>
      <c r="AAE11" s="202"/>
      <c r="AAF11" s="202"/>
      <c r="AAG11" s="202"/>
      <c r="AAH11" s="202"/>
      <c r="AAI11" s="202"/>
      <c r="AAJ11" s="202"/>
      <c r="AAK11" s="202"/>
      <c r="AAL11" s="202"/>
      <c r="AAM11" s="202"/>
      <c r="AAN11" s="202"/>
      <c r="AAO11" s="202"/>
      <c r="AAP11" s="202"/>
      <c r="AAQ11" s="202"/>
      <c r="AAR11" s="202"/>
      <c r="AAS11" s="202"/>
      <c r="AAT11" s="202"/>
      <c r="AAU11" s="202"/>
      <c r="AAV11" s="202"/>
      <c r="AAW11" s="202"/>
      <c r="AAX11" s="202" t="s">
        <v>106</v>
      </c>
      <c r="AAY11" s="202"/>
      <c r="AAZ11" s="202"/>
      <c r="ABA11" s="202"/>
      <c r="ABB11" s="202"/>
      <c r="ABC11" s="202"/>
      <c r="ABD11" s="202"/>
      <c r="ABE11" s="202"/>
      <c r="ABF11" s="202"/>
      <c r="ABG11" s="202"/>
      <c r="ABH11" s="202"/>
      <c r="ABI11" s="202"/>
      <c r="ABJ11" s="202"/>
      <c r="ABK11" s="202"/>
      <c r="ABL11" s="202"/>
      <c r="ABM11" s="202"/>
      <c r="ABN11" s="202"/>
      <c r="ABO11" s="202"/>
      <c r="ABP11" s="202"/>
      <c r="ABQ11" s="202"/>
      <c r="ABR11" s="202"/>
      <c r="ABS11" s="202"/>
      <c r="ABT11" s="202"/>
      <c r="ABU11" s="202"/>
      <c r="ABV11" s="202"/>
      <c r="ABW11" s="202"/>
      <c r="ABX11" s="202"/>
      <c r="ABY11" s="202"/>
      <c r="ABZ11" s="202"/>
      <c r="ACA11" s="202"/>
      <c r="ACB11" s="202"/>
      <c r="ACC11" s="202"/>
      <c r="ACD11" s="202"/>
      <c r="ACE11" s="202"/>
      <c r="ACF11" s="202"/>
      <c r="ACG11" s="202"/>
      <c r="ACH11" s="202"/>
      <c r="ACI11" s="202"/>
      <c r="ACJ11" s="202"/>
      <c r="ACK11" s="202"/>
      <c r="ACL11" s="202"/>
      <c r="ACM11" s="202"/>
      <c r="ACN11" s="202"/>
      <c r="ACO11" s="202"/>
      <c r="ACP11" s="202"/>
      <c r="ACQ11" s="202"/>
      <c r="ACR11" s="202"/>
      <c r="ACS11" s="202"/>
      <c r="ACT11" s="202"/>
      <c r="ACU11" s="202"/>
      <c r="ACV11" s="202"/>
      <c r="ACW11" s="202"/>
      <c r="ACX11" s="202"/>
      <c r="ACY11" s="202"/>
      <c r="ACZ11" s="202"/>
      <c r="ADA11" s="202"/>
      <c r="ADB11" s="202"/>
      <c r="ADC11" s="202"/>
      <c r="ADD11" s="202"/>
      <c r="ADE11" s="202"/>
      <c r="ADF11" s="202" t="s">
        <v>106</v>
      </c>
      <c r="ADG11" s="202"/>
      <c r="ADH11" s="202"/>
      <c r="ADI11" s="202"/>
      <c r="ADJ11" s="202"/>
      <c r="ADK11" s="202"/>
      <c r="ADL11" s="202"/>
      <c r="ADM11" s="202"/>
      <c r="ADN11" s="202"/>
      <c r="ADO11" s="202"/>
      <c r="ADP11" s="202"/>
      <c r="ADQ11" s="202"/>
      <c r="ADR11" s="202"/>
      <c r="ADS11" s="202"/>
      <c r="ADT11" s="202"/>
      <c r="ADU11" s="202"/>
      <c r="ADV11" s="202"/>
      <c r="ADW11" s="202"/>
      <c r="ADX11" s="202"/>
      <c r="ADY11" s="202"/>
      <c r="ADZ11" s="202"/>
      <c r="AEA11" s="202"/>
      <c r="AEB11" s="202"/>
      <c r="AEC11" s="202"/>
      <c r="AED11" s="202"/>
      <c r="AEE11" s="202"/>
      <c r="AEF11" s="202"/>
      <c r="AEG11" s="202"/>
      <c r="AEH11" s="202"/>
      <c r="AEI11" s="202"/>
      <c r="AEJ11" s="202"/>
      <c r="AEK11" s="202"/>
      <c r="AEL11" s="202"/>
      <c r="AEM11" s="202"/>
      <c r="AEN11" s="202"/>
      <c r="AEO11" s="202"/>
      <c r="AEP11" s="202"/>
      <c r="AEQ11" s="202"/>
      <c r="AER11" s="202"/>
      <c r="AES11" s="202"/>
      <c r="AET11" s="202"/>
      <c r="AEU11" s="202"/>
      <c r="AEV11" s="202"/>
      <c r="AEW11" s="202"/>
      <c r="AEX11" s="202"/>
      <c r="AEY11" s="202"/>
      <c r="AEZ11" s="202"/>
      <c r="AFA11" s="202"/>
      <c r="AFB11" s="202"/>
      <c r="AFC11" s="202"/>
      <c r="AFD11" s="202"/>
      <c r="AFE11" s="202"/>
      <c r="AFF11" s="202"/>
      <c r="AFG11" s="202"/>
      <c r="AFH11" s="202"/>
      <c r="AFI11" s="202"/>
      <c r="AFJ11" s="202"/>
      <c r="AFK11" s="202"/>
      <c r="AFL11" s="202"/>
      <c r="AFM11" s="202"/>
      <c r="AFN11" s="202" t="s">
        <v>111</v>
      </c>
      <c r="AFO11" s="202"/>
      <c r="AFP11" s="202"/>
      <c r="AFQ11" s="202"/>
      <c r="AFR11" s="202"/>
      <c r="AFS11" s="202"/>
      <c r="AFT11" s="202"/>
      <c r="AFU11" s="202"/>
      <c r="AFV11" s="202"/>
      <c r="AFW11" s="202"/>
      <c r="AFX11" s="202"/>
      <c r="AFY11" s="202"/>
      <c r="AFZ11" s="202"/>
      <c r="AGA11" s="202"/>
      <c r="AGB11" s="202"/>
      <c r="AGC11" s="202"/>
      <c r="AGD11" s="202"/>
      <c r="AGE11" s="202"/>
      <c r="AGF11" s="202"/>
      <c r="AGG11" s="202"/>
      <c r="AGH11" s="202"/>
      <c r="AGI11" s="202"/>
      <c r="AGJ11" s="202"/>
      <c r="AGK11" s="202"/>
      <c r="AGL11" s="202"/>
      <c r="AGM11" s="202"/>
      <c r="AGN11" s="202"/>
      <c r="AGO11" s="202"/>
      <c r="AGP11" s="202"/>
      <c r="AGQ11" s="202"/>
      <c r="AGR11" s="202"/>
      <c r="AGS11" s="202"/>
      <c r="AGT11" s="202"/>
      <c r="AGU11" s="202"/>
      <c r="AGV11" s="202"/>
      <c r="AGW11" s="202"/>
      <c r="AGX11" s="202"/>
      <c r="AGY11" s="202"/>
      <c r="AGZ11" s="202"/>
      <c r="AHA11" s="202"/>
      <c r="AHB11" s="202"/>
      <c r="AHC11" s="202"/>
      <c r="AHD11" s="202"/>
      <c r="AHE11" s="202"/>
      <c r="AHF11" s="202"/>
      <c r="AHG11" s="202"/>
      <c r="AHH11" s="202"/>
      <c r="AHI11" s="202"/>
      <c r="AHJ11" s="202"/>
      <c r="AHK11" s="202"/>
      <c r="AHL11" s="202"/>
      <c r="AHM11" s="202"/>
      <c r="AHN11" s="202"/>
      <c r="AHO11" s="202"/>
      <c r="AHP11" s="202"/>
      <c r="AHQ11" s="202"/>
      <c r="AHR11" s="202"/>
      <c r="AHS11" s="202"/>
      <c r="AHT11" s="202"/>
      <c r="AHU11" s="202"/>
      <c r="AHV11" s="202" t="s">
        <v>112</v>
      </c>
      <c r="AHW11" s="202"/>
      <c r="AHX11" s="202"/>
      <c r="AHY11" s="202"/>
      <c r="AHZ11" s="202"/>
      <c r="AIA11" s="202"/>
      <c r="AIB11" s="202"/>
      <c r="AIC11" s="202"/>
      <c r="AID11" s="202"/>
      <c r="AIE11" s="202"/>
      <c r="AIF11" s="202"/>
      <c r="AIG11" s="202"/>
      <c r="AIH11" s="202"/>
      <c r="AII11" s="202"/>
      <c r="AIJ11" s="202"/>
      <c r="AIK11" s="202"/>
      <c r="AIL11" s="202"/>
      <c r="AIM11" s="202"/>
      <c r="AIN11" s="202"/>
      <c r="AIO11" s="202"/>
      <c r="AIP11" s="202"/>
      <c r="AIQ11" s="202"/>
      <c r="AIR11" s="202"/>
      <c r="AIS11" s="202"/>
      <c r="AIT11" s="202"/>
      <c r="AIU11" s="202"/>
      <c r="AIV11" s="202"/>
      <c r="AIW11" s="202"/>
      <c r="AIX11" s="202"/>
      <c r="AIY11" s="202"/>
      <c r="AIZ11" s="202"/>
      <c r="AJA11" s="202"/>
      <c r="AJB11" s="202"/>
      <c r="AJC11" s="202"/>
      <c r="AJD11" s="202"/>
      <c r="AJE11" s="202"/>
      <c r="AJF11" s="202"/>
      <c r="AJG11" s="202"/>
      <c r="AJH11" s="202"/>
      <c r="AJI11" s="202"/>
      <c r="AJJ11" s="202"/>
      <c r="AJK11" s="202"/>
      <c r="AJL11" s="202"/>
      <c r="AJM11" s="202"/>
      <c r="AJN11" s="202"/>
      <c r="AJO11" s="202"/>
      <c r="AJP11" s="202"/>
      <c r="AJQ11" s="202"/>
      <c r="AJR11" s="202"/>
      <c r="AJS11" s="202"/>
      <c r="AJT11" s="202"/>
      <c r="AJU11" s="202"/>
      <c r="AJV11" s="202"/>
      <c r="AJW11" s="202"/>
      <c r="AJX11" s="202"/>
      <c r="AJY11" s="202"/>
      <c r="AJZ11" s="202"/>
      <c r="AKA11" s="202"/>
      <c r="AKB11" s="202"/>
      <c r="AKC11" s="202"/>
      <c r="AKD11" s="202" t="s">
        <v>112</v>
      </c>
      <c r="AKE11" s="202"/>
      <c r="AKF11" s="202"/>
      <c r="AKG11" s="202"/>
      <c r="AKH11" s="202"/>
      <c r="AKI11" s="202"/>
      <c r="AKJ11" s="202"/>
      <c r="AKK11" s="202"/>
      <c r="AKL11" s="202"/>
      <c r="AKM11" s="202"/>
      <c r="AKN11" s="202"/>
      <c r="AKO11" s="202"/>
      <c r="AKP11" s="202"/>
      <c r="AKQ11" s="202"/>
      <c r="AKR11" s="202"/>
      <c r="AKS11" s="202"/>
      <c r="AKT11" s="202"/>
      <c r="AKU11" s="202"/>
      <c r="AKV11" s="202"/>
      <c r="AKW11" s="202"/>
      <c r="AKX11" s="202"/>
      <c r="AKY11" s="202"/>
      <c r="AKZ11" s="202"/>
      <c r="ALA11" s="202"/>
      <c r="ALB11" s="202"/>
      <c r="ALC11" s="202"/>
      <c r="ALD11" s="202"/>
      <c r="ALE11" s="202"/>
      <c r="ALF11" s="202"/>
      <c r="ALG11" s="202"/>
      <c r="ALH11" s="202"/>
      <c r="ALI11" s="202"/>
      <c r="ALJ11" s="202"/>
      <c r="ALK11" s="202"/>
      <c r="ALL11" s="202"/>
      <c r="ALM11" s="202"/>
      <c r="ALN11" s="202"/>
      <c r="ALO11" s="202"/>
      <c r="ALP11" s="202"/>
      <c r="ALQ11" s="202"/>
      <c r="ALR11" s="202"/>
      <c r="ALS11" s="202"/>
      <c r="ALT11" s="202"/>
      <c r="ALU11" s="202"/>
      <c r="ALV11" s="202"/>
      <c r="ALW11" s="202"/>
      <c r="ALX11" s="202"/>
      <c r="ALY11" s="202"/>
      <c r="ALZ11" s="202"/>
      <c r="AMA11" s="202"/>
      <c r="AMB11" s="202"/>
      <c r="AMC11" s="202"/>
      <c r="AMD11" s="202"/>
      <c r="AME11" s="202"/>
      <c r="AMF11" s="202"/>
      <c r="AMG11" s="202"/>
      <c r="AMH11" s="202"/>
      <c r="AMI11" s="202"/>
      <c r="AMJ11" s="202"/>
      <c r="AMK11" s="202"/>
      <c r="AML11" s="202" t="s">
        <v>113</v>
      </c>
      <c r="AMM11" s="202"/>
      <c r="AMN11" s="202"/>
      <c r="AMO11" s="202"/>
      <c r="AMP11" s="202"/>
      <c r="AMQ11" s="202"/>
      <c r="AMR11" s="202"/>
      <c r="AMS11" s="202"/>
      <c r="AMT11" s="202"/>
      <c r="AMU11" s="202"/>
      <c r="AMV11" s="202"/>
      <c r="AMW11" s="202"/>
      <c r="AMX11" s="202"/>
      <c r="AMY11" s="202"/>
      <c r="AMZ11" s="202"/>
      <c r="ANA11" s="202"/>
      <c r="ANB11" s="202"/>
      <c r="ANC11" s="202"/>
      <c r="AND11" s="202"/>
      <c r="ANE11" s="202"/>
      <c r="ANF11" s="202"/>
      <c r="ANG11" s="202"/>
      <c r="ANH11" s="202"/>
      <c r="ANI11" s="202"/>
      <c r="ANJ11" s="202"/>
      <c r="ANK11" s="202"/>
      <c r="ANL11" s="202"/>
      <c r="ANM11" s="202"/>
      <c r="ANN11" s="202"/>
      <c r="ANO11" s="202"/>
      <c r="ANP11" s="202"/>
      <c r="ANQ11" s="202"/>
      <c r="ANR11" s="202"/>
      <c r="ANS11" s="202"/>
      <c r="ANT11" s="202"/>
      <c r="ANU11" s="202"/>
      <c r="ANV11" s="202"/>
      <c r="ANW11" s="202"/>
      <c r="ANX11" s="202"/>
      <c r="ANY11" s="202"/>
      <c r="ANZ11" s="202"/>
      <c r="AOA11" s="202"/>
      <c r="AOB11" s="202"/>
      <c r="AOC11" s="202"/>
      <c r="AOD11" s="202"/>
      <c r="AOE11" s="202"/>
      <c r="AOF11" s="202"/>
      <c r="AOG11" s="202"/>
      <c r="AOH11" s="202"/>
      <c r="AOI11" s="202"/>
      <c r="AOJ11" s="202"/>
      <c r="AOK11" s="202"/>
      <c r="AOL11" s="202"/>
      <c r="AOM11" s="202"/>
      <c r="AON11" s="202"/>
      <c r="AOO11" s="202"/>
      <c r="AOP11" s="202"/>
      <c r="AOQ11" s="202"/>
      <c r="AOR11" s="202"/>
      <c r="AOS11" s="202"/>
      <c r="AOT11" s="202" t="s">
        <v>113</v>
      </c>
      <c r="AOU11" s="202"/>
      <c r="AOV11" s="202"/>
      <c r="AOW11" s="202"/>
      <c r="AOX11" s="202"/>
      <c r="AOY11" s="202"/>
      <c r="AOZ11" s="202"/>
      <c r="APA11" s="202"/>
      <c r="APB11" s="202"/>
      <c r="APC11" s="202"/>
      <c r="APD11" s="202"/>
      <c r="APE11" s="202"/>
      <c r="APF11" s="202"/>
      <c r="APG11" s="202"/>
      <c r="APH11" s="202"/>
      <c r="API11" s="202"/>
      <c r="APJ11" s="202"/>
      <c r="APK11" s="202"/>
      <c r="APL11" s="202"/>
      <c r="APM11" s="202"/>
      <c r="APN11" s="202"/>
      <c r="APO11" s="202"/>
      <c r="APP11" s="202"/>
      <c r="APQ11" s="202"/>
      <c r="APR11" s="202"/>
      <c r="APS11" s="202"/>
      <c r="APT11" s="202"/>
      <c r="APU11" s="202"/>
      <c r="APV11" s="202"/>
      <c r="APW11" s="202"/>
      <c r="APX11" s="202"/>
      <c r="APY11" s="202"/>
      <c r="APZ11" s="202"/>
      <c r="AQA11" s="202"/>
      <c r="AQB11" s="202"/>
      <c r="AQC11" s="202"/>
      <c r="AQD11" s="202"/>
      <c r="AQE11" s="202"/>
      <c r="AQF11" s="202"/>
      <c r="AQG11" s="202"/>
      <c r="AQH11" s="202"/>
      <c r="AQI11" s="202"/>
      <c r="AQJ11" s="202"/>
      <c r="AQK11" s="202"/>
      <c r="AQL11" s="202"/>
      <c r="AQM11" s="202"/>
      <c r="AQN11" s="202"/>
      <c r="AQO11" s="202"/>
      <c r="AQP11" s="202"/>
      <c r="AQQ11" s="202"/>
      <c r="AQR11" s="202"/>
      <c r="AQS11" s="202"/>
      <c r="AQT11" s="202"/>
      <c r="AQU11" s="202"/>
      <c r="AQV11" s="202"/>
      <c r="AQW11" s="202"/>
      <c r="AQX11" s="202"/>
      <c r="AQY11" s="202"/>
      <c r="AQZ11" s="202"/>
      <c r="ARA11" s="202"/>
      <c r="ARB11" s="90"/>
    </row>
    <row r="12" spans="1:1146" ht="15.75" customHeight="1" thickBot="1" x14ac:dyDescent="0.3">
      <c r="B12" s="97"/>
      <c r="C12" s="230"/>
      <c r="D12" s="230"/>
      <c r="E12" s="230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/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09"/>
      <c r="DW12" s="209"/>
      <c r="DX12" s="209"/>
      <c r="DY12" s="209"/>
      <c r="DZ12" s="209"/>
      <c r="EA12" s="209"/>
      <c r="EB12" s="209"/>
      <c r="EC12" s="209"/>
      <c r="ED12" s="209"/>
      <c r="EE12" s="209"/>
      <c r="EF12" s="209"/>
      <c r="EG12" s="209"/>
      <c r="EH12" s="209"/>
      <c r="EI12" s="209"/>
      <c r="EJ12" s="209"/>
      <c r="EK12" s="209"/>
      <c r="EL12" s="209"/>
      <c r="EM12" s="209"/>
      <c r="EN12" s="209"/>
      <c r="EO12" s="209"/>
      <c r="EP12" s="209"/>
      <c r="EQ12" s="209"/>
      <c r="ER12" s="209"/>
      <c r="ES12" s="209"/>
      <c r="ET12" s="209"/>
      <c r="EU12" s="209"/>
      <c r="EV12" s="209"/>
      <c r="EW12" s="209"/>
      <c r="EX12" s="209"/>
      <c r="EY12" s="209"/>
      <c r="EZ12" s="209"/>
      <c r="FA12" s="209"/>
      <c r="FB12" s="209"/>
      <c r="FC12" s="209"/>
      <c r="FD12" s="209"/>
      <c r="FE12" s="209"/>
      <c r="FF12" s="209"/>
      <c r="FG12" s="209"/>
      <c r="FH12" s="209"/>
      <c r="FI12" s="209"/>
      <c r="FJ12" s="209"/>
      <c r="FK12" s="209"/>
      <c r="FL12" s="209"/>
      <c r="FM12" s="209"/>
      <c r="FN12" s="209"/>
      <c r="FO12" s="209"/>
      <c r="FP12" s="209"/>
      <c r="FQ12" s="209"/>
      <c r="FR12" s="209"/>
      <c r="FS12" s="209"/>
      <c r="FT12" s="209"/>
      <c r="FU12" s="209"/>
      <c r="FV12" s="209"/>
      <c r="FW12" s="209"/>
      <c r="FX12" s="209"/>
      <c r="FY12" s="209"/>
      <c r="FZ12" s="209"/>
      <c r="GA12" s="209"/>
      <c r="GB12" s="209"/>
      <c r="GC12" s="209"/>
      <c r="GD12" s="209"/>
      <c r="GE12" s="209"/>
      <c r="GF12" s="209"/>
      <c r="GG12" s="209"/>
      <c r="GH12" s="209"/>
      <c r="GI12" s="209"/>
      <c r="GJ12" s="209"/>
      <c r="GK12" s="209"/>
      <c r="GL12" s="209"/>
      <c r="GM12" s="209"/>
      <c r="GN12" s="209"/>
      <c r="GO12" s="209"/>
      <c r="GP12" s="209"/>
      <c r="GQ12" s="209"/>
      <c r="GR12" s="209"/>
      <c r="GS12" s="209"/>
      <c r="GT12" s="209"/>
      <c r="GU12" s="209"/>
      <c r="GV12" s="209"/>
      <c r="GW12" s="209"/>
      <c r="GX12" s="209"/>
      <c r="GY12" s="209"/>
      <c r="GZ12" s="209"/>
      <c r="HA12" s="209"/>
      <c r="HB12" s="209"/>
      <c r="HC12" s="209"/>
      <c r="HD12" s="209"/>
      <c r="HE12" s="209"/>
      <c r="HF12" s="209"/>
      <c r="HG12" s="209"/>
      <c r="HH12" s="209"/>
      <c r="HI12" s="209"/>
      <c r="HJ12" s="209"/>
      <c r="HK12" s="209"/>
      <c r="HL12" s="209"/>
      <c r="HM12" s="209"/>
      <c r="HN12" s="209"/>
      <c r="HO12" s="209"/>
      <c r="HP12" s="209"/>
      <c r="HQ12" s="209"/>
      <c r="HR12" s="209"/>
      <c r="HS12" s="209"/>
      <c r="HT12" s="209"/>
      <c r="HU12" s="209"/>
      <c r="HV12" s="209"/>
      <c r="HW12" s="209"/>
      <c r="HX12" s="209"/>
      <c r="HY12" s="209"/>
      <c r="HZ12" s="209"/>
      <c r="IA12" s="209"/>
      <c r="IB12" s="209"/>
      <c r="IC12" s="209"/>
      <c r="ID12" s="209"/>
      <c r="IE12" s="209"/>
      <c r="IF12" s="209"/>
      <c r="IG12" s="209"/>
      <c r="IH12" s="209"/>
      <c r="II12" s="209"/>
      <c r="IJ12" s="209"/>
      <c r="IK12" s="209"/>
      <c r="IL12" s="209"/>
      <c r="IM12" s="209"/>
      <c r="IN12" s="209"/>
      <c r="IO12" s="209"/>
      <c r="IP12" s="209"/>
      <c r="IQ12" s="209"/>
      <c r="IR12" s="209"/>
      <c r="IS12" s="209"/>
      <c r="IT12" s="209"/>
      <c r="IU12" s="209"/>
      <c r="IV12" s="209"/>
      <c r="IW12" s="209"/>
      <c r="IX12" s="209"/>
      <c r="IY12" s="209"/>
      <c r="IZ12" s="209"/>
      <c r="JA12" s="209"/>
      <c r="JB12" s="209"/>
      <c r="JC12" s="209"/>
      <c r="JD12" s="209"/>
      <c r="JE12" s="209"/>
      <c r="JF12" s="209"/>
      <c r="JG12" s="209"/>
      <c r="JH12" s="209"/>
      <c r="JI12" s="209"/>
      <c r="JJ12" s="209"/>
      <c r="JK12" s="209"/>
      <c r="JL12" s="209"/>
      <c r="JM12" s="209"/>
      <c r="JN12" s="209"/>
      <c r="JO12" s="209"/>
      <c r="JP12" s="209"/>
      <c r="JQ12" s="209"/>
      <c r="JR12" s="209"/>
      <c r="JS12" s="209"/>
      <c r="JT12" s="209"/>
      <c r="JU12" s="209"/>
      <c r="JV12" s="209"/>
      <c r="JW12" s="209"/>
      <c r="JX12" s="209"/>
      <c r="JY12" s="209"/>
      <c r="JZ12" s="209"/>
      <c r="KA12" s="209"/>
      <c r="KB12" s="209"/>
      <c r="KC12" s="209"/>
      <c r="KD12" s="209"/>
      <c r="KE12" s="209"/>
      <c r="KF12" s="209"/>
      <c r="KG12" s="209"/>
      <c r="KH12" s="209"/>
      <c r="KI12" s="209"/>
      <c r="KJ12" s="209"/>
      <c r="KK12" s="209"/>
      <c r="KL12" s="209"/>
      <c r="KM12" s="209"/>
      <c r="KN12" s="209"/>
      <c r="KO12" s="209"/>
      <c r="KP12" s="209"/>
      <c r="KQ12" s="209"/>
      <c r="KR12" s="209"/>
      <c r="KS12" s="209"/>
      <c r="KT12" s="209"/>
      <c r="KU12" s="209"/>
      <c r="KV12" s="209"/>
      <c r="KW12" s="209"/>
      <c r="KX12" s="209"/>
      <c r="KY12" s="209"/>
      <c r="KZ12" s="209"/>
      <c r="LA12" s="209"/>
      <c r="LB12" s="209"/>
      <c r="LC12" s="209"/>
      <c r="LD12" s="209"/>
      <c r="LE12" s="209"/>
      <c r="LF12" s="209"/>
      <c r="LG12" s="209"/>
      <c r="LH12" s="209"/>
      <c r="LI12" s="209"/>
      <c r="LJ12" s="209"/>
      <c r="LK12" s="209"/>
      <c r="LL12" s="209"/>
      <c r="LM12" s="209"/>
      <c r="LN12" s="209"/>
      <c r="LO12" s="209"/>
      <c r="LP12" s="209"/>
      <c r="LQ12" s="209"/>
      <c r="LR12" s="209"/>
      <c r="LS12" s="209"/>
      <c r="LT12" s="209"/>
      <c r="LU12" s="209"/>
      <c r="LV12" s="209"/>
      <c r="LW12" s="209"/>
      <c r="LX12" s="209"/>
      <c r="LY12" s="209"/>
      <c r="LZ12" s="209"/>
      <c r="MA12" s="209"/>
      <c r="MB12" s="209"/>
      <c r="MC12" s="209"/>
      <c r="MD12" s="209"/>
      <c r="ME12" s="209"/>
      <c r="MF12" s="209"/>
      <c r="MG12" s="209"/>
      <c r="MH12" s="209"/>
      <c r="MI12" s="209"/>
      <c r="MJ12" s="209"/>
      <c r="MK12" s="209"/>
      <c r="ML12" s="209"/>
      <c r="MM12" s="209"/>
      <c r="MN12" s="209"/>
      <c r="MO12" s="209"/>
      <c r="MP12" s="209"/>
      <c r="MQ12" s="209"/>
      <c r="MR12" s="209"/>
      <c r="MS12" s="209"/>
      <c r="MT12" s="209"/>
      <c r="MU12" s="209"/>
      <c r="MV12" s="209"/>
      <c r="MW12" s="209"/>
      <c r="MX12" s="209"/>
      <c r="MY12" s="209"/>
      <c r="MZ12" s="209"/>
      <c r="NA12" s="209"/>
      <c r="NB12" s="209"/>
      <c r="NC12" s="209"/>
      <c r="ND12" s="209"/>
      <c r="NE12" s="209"/>
      <c r="NF12" s="209"/>
      <c r="NG12" s="209"/>
      <c r="NH12" s="209"/>
      <c r="NI12" s="209"/>
      <c r="NJ12" s="209"/>
      <c r="NK12" s="209"/>
      <c r="NL12" s="209"/>
      <c r="NM12" s="209"/>
      <c r="NN12" s="209"/>
      <c r="NO12" s="209"/>
      <c r="NP12" s="209"/>
      <c r="NQ12" s="209"/>
      <c r="NR12" s="209"/>
      <c r="NS12" s="209"/>
      <c r="NT12" s="209"/>
      <c r="NU12" s="209"/>
      <c r="NV12" s="209"/>
      <c r="NW12" s="209"/>
      <c r="NX12" s="209"/>
      <c r="NY12" s="209"/>
      <c r="NZ12" s="209"/>
      <c r="OA12" s="209"/>
      <c r="OB12" s="209"/>
      <c r="OC12" s="209"/>
      <c r="OD12" s="209"/>
      <c r="OE12" s="209"/>
      <c r="OF12" s="209"/>
      <c r="OG12" s="209"/>
      <c r="OH12" s="209"/>
      <c r="OI12" s="209"/>
      <c r="OJ12" s="209"/>
      <c r="OK12" s="209"/>
      <c r="OL12" s="209"/>
      <c r="OM12" s="209"/>
      <c r="ON12" s="209"/>
      <c r="OO12" s="209"/>
      <c r="OP12" s="209"/>
      <c r="OQ12" s="209"/>
      <c r="OR12" s="209"/>
      <c r="OS12" s="209"/>
      <c r="OT12" s="209"/>
      <c r="OU12" s="209"/>
      <c r="OV12" s="209"/>
      <c r="OW12" s="209"/>
      <c r="OX12" s="209"/>
      <c r="OY12" s="209"/>
      <c r="OZ12" s="209"/>
      <c r="PA12" s="209"/>
      <c r="PB12" s="209"/>
      <c r="PC12" s="209"/>
      <c r="PD12" s="209"/>
      <c r="PE12" s="209"/>
      <c r="PF12" s="209"/>
      <c r="PG12" s="209"/>
      <c r="PH12" s="209"/>
      <c r="PI12" s="209"/>
      <c r="PJ12" s="203"/>
      <c r="PK12" s="203"/>
      <c r="PL12" s="203"/>
      <c r="PM12" s="203"/>
      <c r="PN12" s="203"/>
      <c r="PO12" s="203"/>
      <c r="PP12" s="203"/>
      <c r="PQ12" s="203"/>
      <c r="PR12" s="203"/>
      <c r="PS12" s="203"/>
      <c r="PT12" s="203"/>
      <c r="PU12" s="203"/>
      <c r="PV12" s="203"/>
      <c r="PW12" s="203"/>
      <c r="PX12" s="203"/>
      <c r="PY12" s="203"/>
      <c r="PZ12" s="203"/>
      <c r="QA12" s="203"/>
      <c r="QB12" s="203"/>
      <c r="QC12" s="203"/>
      <c r="QD12" s="203"/>
      <c r="QE12" s="203"/>
      <c r="QF12" s="203"/>
      <c r="QG12" s="203"/>
      <c r="QH12" s="203"/>
      <c r="QI12" s="203"/>
      <c r="QJ12" s="203"/>
      <c r="QK12" s="203"/>
      <c r="QL12" s="203"/>
      <c r="QM12" s="203"/>
      <c r="QN12" s="203"/>
      <c r="QO12" s="203"/>
      <c r="QP12" s="203"/>
      <c r="QQ12" s="203"/>
      <c r="QR12" s="203"/>
      <c r="QS12" s="203"/>
      <c r="QT12" s="203"/>
      <c r="QU12" s="203"/>
      <c r="QV12" s="203"/>
      <c r="QW12" s="203"/>
      <c r="QX12" s="203"/>
      <c r="QY12" s="203"/>
      <c r="QZ12" s="203"/>
      <c r="RA12" s="203"/>
      <c r="RB12" s="203"/>
      <c r="RC12" s="203"/>
      <c r="RD12" s="203"/>
      <c r="RE12" s="203"/>
      <c r="RF12" s="203"/>
      <c r="RG12" s="203"/>
      <c r="RH12" s="203"/>
      <c r="RI12" s="203"/>
      <c r="RJ12" s="203"/>
      <c r="RK12" s="203"/>
      <c r="RL12" s="203"/>
      <c r="RM12" s="203"/>
      <c r="RN12" s="203"/>
      <c r="RO12" s="203"/>
      <c r="RP12" s="203"/>
      <c r="RQ12" s="203"/>
      <c r="RR12" s="203"/>
      <c r="RS12" s="203"/>
      <c r="RT12" s="203"/>
      <c r="RU12" s="203"/>
      <c r="RV12" s="203"/>
      <c r="RW12" s="203"/>
      <c r="RX12" s="203"/>
      <c r="RY12" s="203"/>
      <c r="RZ12" s="203"/>
      <c r="SA12" s="203"/>
      <c r="SB12" s="203"/>
      <c r="SC12" s="203"/>
      <c r="SD12" s="203"/>
      <c r="SE12" s="203"/>
      <c r="SF12" s="203"/>
      <c r="SG12" s="203"/>
      <c r="SH12" s="203"/>
      <c r="SI12" s="203"/>
      <c r="SJ12" s="203"/>
      <c r="SK12" s="203"/>
      <c r="SL12" s="203"/>
      <c r="SM12" s="203"/>
      <c r="SN12" s="203"/>
      <c r="SO12" s="203"/>
      <c r="SP12" s="203"/>
      <c r="SQ12" s="203"/>
      <c r="SR12" s="203"/>
      <c r="SS12" s="203"/>
      <c r="ST12" s="203"/>
      <c r="SU12" s="203"/>
      <c r="SV12" s="203"/>
      <c r="SW12" s="203"/>
      <c r="SX12" s="203"/>
      <c r="SY12" s="203"/>
      <c r="SZ12" s="203"/>
      <c r="TA12" s="203"/>
      <c r="TB12" s="203"/>
      <c r="TC12" s="203"/>
      <c r="TD12" s="203"/>
      <c r="TE12" s="203"/>
      <c r="TF12" s="203"/>
      <c r="TG12" s="203"/>
      <c r="TH12" s="203"/>
      <c r="TI12" s="203"/>
      <c r="TJ12" s="203"/>
      <c r="TK12" s="203"/>
      <c r="TL12" s="203"/>
      <c r="TM12" s="203"/>
      <c r="TN12" s="203"/>
      <c r="TO12" s="203"/>
      <c r="TP12" s="203"/>
      <c r="TQ12" s="203"/>
      <c r="TR12" s="203"/>
      <c r="TS12" s="203"/>
      <c r="TT12" s="203"/>
      <c r="TU12" s="203"/>
      <c r="TV12" s="203"/>
      <c r="TW12" s="203"/>
      <c r="TX12" s="203"/>
      <c r="TY12" s="203"/>
      <c r="TZ12" s="203"/>
      <c r="UA12" s="203"/>
      <c r="UB12" s="203"/>
      <c r="UC12" s="203"/>
      <c r="UD12" s="203"/>
      <c r="UE12" s="203"/>
      <c r="UF12" s="203"/>
      <c r="UG12" s="203"/>
      <c r="UH12" s="203"/>
      <c r="UI12" s="203"/>
      <c r="UJ12" s="203"/>
      <c r="UK12" s="203"/>
      <c r="UL12" s="203"/>
      <c r="UM12" s="203"/>
      <c r="UN12" s="203"/>
      <c r="UO12" s="203"/>
      <c r="UP12" s="203"/>
      <c r="UQ12" s="203"/>
      <c r="UR12" s="203"/>
      <c r="US12" s="203"/>
      <c r="UT12" s="203"/>
      <c r="UU12" s="203"/>
      <c r="UV12" s="203"/>
      <c r="UW12" s="203"/>
      <c r="UX12" s="203"/>
      <c r="UY12" s="203"/>
      <c r="UZ12" s="203"/>
      <c r="VA12" s="203"/>
      <c r="VB12" s="203"/>
      <c r="VC12" s="203"/>
      <c r="VD12" s="203"/>
      <c r="VE12" s="203"/>
      <c r="VF12" s="203"/>
      <c r="VG12" s="203"/>
      <c r="VH12" s="203"/>
      <c r="VI12" s="203"/>
      <c r="VJ12" s="203"/>
      <c r="VK12" s="203"/>
      <c r="VL12" s="203"/>
      <c r="VM12" s="203"/>
      <c r="VN12" s="203"/>
      <c r="VO12" s="203"/>
      <c r="VP12" s="203"/>
      <c r="VQ12" s="203"/>
      <c r="VR12" s="203"/>
      <c r="VS12" s="203"/>
      <c r="VT12" s="203"/>
      <c r="VU12" s="203"/>
      <c r="VV12" s="203"/>
      <c r="VW12" s="203"/>
      <c r="VX12" s="203"/>
      <c r="VY12" s="203"/>
      <c r="VZ12" s="203"/>
      <c r="WA12" s="203"/>
      <c r="WB12" s="203"/>
      <c r="WC12" s="203"/>
      <c r="WD12" s="203"/>
      <c r="WE12" s="203"/>
      <c r="WF12" s="203"/>
      <c r="WG12" s="203"/>
      <c r="WH12" s="203"/>
      <c r="WI12" s="203"/>
      <c r="WJ12" s="203"/>
      <c r="WK12" s="203"/>
      <c r="WL12" s="203"/>
      <c r="WM12" s="203"/>
      <c r="WN12" s="203"/>
      <c r="WO12" s="203"/>
      <c r="WP12" s="203"/>
      <c r="WQ12" s="203"/>
      <c r="WR12" s="203"/>
      <c r="WS12" s="203"/>
      <c r="WT12" s="203"/>
      <c r="WU12" s="203"/>
      <c r="WV12" s="203"/>
      <c r="WW12" s="203"/>
      <c r="WX12" s="203"/>
      <c r="WY12" s="203"/>
      <c r="WZ12" s="203"/>
      <c r="XA12" s="203"/>
      <c r="XB12" s="203"/>
      <c r="XC12" s="203"/>
      <c r="XD12" s="203"/>
      <c r="XE12" s="203"/>
      <c r="XF12" s="203"/>
      <c r="XG12" s="203"/>
      <c r="XH12" s="203"/>
      <c r="XI12" s="203"/>
      <c r="XJ12" s="203"/>
      <c r="XK12" s="203"/>
      <c r="XL12" s="203"/>
      <c r="XM12" s="203"/>
      <c r="XN12" s="203"/>
      <c r="XO12" s="203"/>
      <c r="XP12" s="203"/>
      <c r="XQ12" s="203"/>
      <c r="XR12" s="203"/>
      <c r="XS12" s="203"/>
      <c r="XT12" s="203"/>
      <c r="XU12" s="203"/>
      <c r="XV12" s="203"/>
      <c r="XW12" s="203"/>
      <c r="XX12" s="203"/>
      <c r="XY12" s="203"/>
      <c r="XZ12" s="203"/>
      <c r="YA12" s="203"/>
      <c r="YB12" s="203"/>
      <c r="YC12" s="203"/>
      <c r="YD12" s="203"/>
      <c r="YE12" s="203"/>
      <c r="YF12" s="203"/>
      <c r="YG12" s="203"/>
      <c r="YH12" s="203"/>
      <c r="YI12" s="203"/>
      <c r="YJ12" s="203"/>
      <c r="YK12" s="203"/>
      <c r="YL12" s="203"/>
      <c r="YM12" s="203"/>
      <c r="YN12" s="203"/>
      <c r="YO12" s="203"/>
      <c r="YP12" s="203"/>
      <c r="YQ12" s="203"/>
      <c r="YR12" s="203"/>
      <c r="YS12" s="203"/>
      <c r="YT12" s="203"/>
      <c r="YU12" s="203"/>
      <c r="YV12" s="203"/>
      <c r="YW12" s="203"/>
      <c r="YX12" s="203"/>
      <c r="YY12" s="203"/>
      <c r="YZ12" s="203"/>
      <c r="ZA12" s="203"/>
      <c r="ZB12" s="203"/>
      <c r="ZC12" s="203"/>
      <c r="ZD12" s="203"/>
      <c r="ZE12" s="203"/>
      <c r="ZF12" s="203"/>
      <c r="ZG12" s="203"/>
      <c r="ZH12" s="203"/>
      <c r="ZI12" s="203"/>
      <c r="ZJ12" s="203"/>
      <c r="ZK12" s="203"/>
      <c r="ZL12" s="203"/>
      <c r="ZM12" s="203"/>
      <c r="ZN12" s="203"/>
      <c r="ZO12" s="203"/>
      <c r="ZP12" s="203"/>
      <c r="ZQ12" s="203"/>
      <c r="ZR12" s="203"/>
      <c r="ZS12" s="203"/>
      <c r="ZT12" s="203"/>
      <c r="ZU12" s="203"/>
      <c r="ZV12" s="203"/>
      <c r="ZW12" s="203"/>
      <c r="ZX12" s="203"/>
      <c r="ZY12" s="203"/>
      <c r="ZZ12" s="203"/>
      <c r="AAA12" s="203"/>
      <c r="AAB12" s="203"/>
      <c r="AAC12" s="203"/>
      <c r="AAD12" s="203"/>
      <c r="AAE12" s="203"/>
      <c r="AAF12" s="203"/>
      <c r="AAG12" s="203"/>
      <c r="AAH12" s="203"/>
      <c r="AAI12" s="203"/>
      <c r="AAJ12" s="203"/>
      <c r="AAK12" s="203"/>
      <c r="AAL12" s="203"/>
      <c r="AAM12" s="203"/>
      <c r="AAN12" s="203"/>
      <c r="AAO12" s="203"/>
      <c r="AAP12" s="203"/>
      <c r="AAQ12" s="203"/>
      <c r="AAR12" s="203"/>
      <c r="AAS12" s="203"/>
      <c r="AAT12" s="203"/>
      <c r="AAU12" s="203"/>
      <c r="AAV12" s="203"/>
      <c r="AAW12" s="203"/>
      <c r="AAX12" s="203"/>
      <c r="AAY12" s="203"/>
      <c r="AAZ12" s="203"/>
      <c r="ABA12" s="203"/>
      <c r="ABB12" s="203"/>
      <c r="ABC12" s="203"/>
      <c r="ABD12" s="203"/>
      <c r="ABE12" s="203"/>
      <c r="ABF12" s="203"/>
      <c r="ABG12" s="203"/>
      <c r="ABH12" s="203"/>
      <c r="ABI12" s="203"/>
      <c r="ABJ12" s="203"/>
      <c r="ABK12" s="203"/>
      <c r="ABL12" s="203"/>
      <c r="ABM12" s="203"/>
      <c r="ABN12" s="203"/>
      <c r="ABO12" s="203"/>
      <c r="ABP12" s="203"/>
      <c r="ABQ12" s="203"/>
      <c r="ABR12" s="203"/>
      <c r="ABS12" s="203"/>
      <c r="ABT12" s="203"/>
      <c r="ABU12" s="203"/>
      <c r="ABV12" s="203"/>
      <c r="ABW12" s="203"/>
      <c r="ABX12" s="203"/>
      <c r="ABY12" s="203"/>
      <c r="ABZ12" s="203"/>
      <c r="ACA12" s="203"/>
      <c r="ACB12" s="203"/>
      <c r="ACC12" s="203"/>
      <c r="ACD12" s="203"/>
      <c r="ACE12" s="203"/>
      <c r="ACF12" s="203"/>
      <c r="ACG12" s="203"/>
      <c r="ACH12" s="203"/>
      <c r="ACI12" s="203"/>
      <c r="ACJ12" s="203"/>
      <c r="ACK12" s="203"/>
      <c r="ACL12" s="203"/>
      <c r="ACM12" s="203"/>
      <c r="ACN12" s="203"/>
      <c r="ACO12" s="203"/>
      <c r="ACP12" s="203"/>
      <c r="ACQ12" s="203"/>
      <c r="ACR12" s="203"/>
      <c r="ACS12" s="203"/>
      <c r="ACT12" s="203"/>
      <c r="ACU12" s="203"/>
      <c r="ACV12" s="203"/>
      <c r="ACW12" s="203"/>
      <c r="ACX12" s="203"/>
      <c r="ACY12" s="203"/>
      <c r="ACZ12" s="203"/>
      <c r="ADA12" s="203"/>
      <c r="ADB12" s="203"/>
      <c r="ADC12" s="203"/>
      <c r="ADD12" s="203"/>
      <c r="ADE12" s="203"/>
      <c r="ADF12" s="203"/>
      <c r="ADG12" s="203"/>
      <c r="ADH12" s="203"/>
      <c r="ADI12" s="203"/>
      <c r="ADJ12" s="203"/>
      <c r="ADK12" s="203"/>
      <c r="ADL12" s="203"/>
      <c r="ADM12" s="203"/>
      <c r="ADN12" s="203"/>
      <c r="ADO12" s="203"/>
      <c r="ADP12" s="203"/>
      <c r="ADQ12" s="203"/>
      <c r="ADR12" s="203"/>
      <c r="ADS12" s="203"/>
      <c r="ADT12" s="203"/>
      <c r="ADU12" s="203"/>
      <c r="ADV12" s="203"/>
      <c r="ADW12" s="203"/>
      <c r="ADX12" s="203"/>
      <c r="ADY12" s="203"/>
      <c r="ADZ12" s="203"/>
      <c r="AEA12" s="203"/>
      <c r="AEB12" s="203"/>
      <c r="AEC12" s="203"/>
      <c r="AED12" s="203"/>
      <c r="AEE12" s="203"/>
      <c r="AEF12" s="203"/>
      <c r="AEG12" s="203"/>
      <c r="AEH12" s="203"/>
      <c r="AEI12" s="203"/>
      <c r="AEJ12" s="203"/>
      <c r="AEK12" s="203"/>
      <c r="AEL12" s="203"/>
      <c r="AEM12" s="203"/>
      <c r="AEN12" s="203"/>
      <c r="AEO12" s="203"/>
      <c r="AEP12" s="203"/>
      <c r="AEQ12" s="203"/>
      <c r="AER12" s="203"/>
      <c r="AES12" s="203"/>
      <c r="AET12" s="203"/>
      <c r="AEU12" s="203"/>
      <c r="AEV12" s="203"/>
      <c r="AEW12" s="203"/>
      <c r="AEX12" s="203"/>
      <c r="AEY12" s="203"/>
      <c r="AEZ12" s="203"/>
      <c r="AFA12" s="203"/>
      <c r="AFB12" s="203"/>
      <c r="AFC12" s="203"/>
      <c r="AFD12" s="203"/>
      <c r="AFE12" s="203"/>
      <c r="AFF12" s="203"/>
      <c r="AFG12" s="203"/>
      <c r="AFH12" s="203"/>
      <c r="AFI12" s="203"/>
      <c r="AFJ12" s="203"/>
      <c r="AFK12" s="203"/>
      <c r="AFL12" s="203"/>
      <c r="AFM12" s="203"/>
      <c r="AFN12" s="203"/>
      <c r="AFO12" s="203"/>
      <c r="AFP12" s="203"/>
      <c r="AFQ12" s="203"/>
      <c r="AFR12" s="203"/>
      <c r="AFS12" s="203"/>
      <c r="AFT12" s="203"/>
      <c r="AFU12" s="203"/>
      <c r="AFV12" s="203"/>
      <c r="AFW12" s="203"/>
      <c r="AFX12" s="203"/>
      <c r="AFY12" s="203"/>
      <c r="AFZ12" s="203"/>
      <c r="AGA12" s="203"/>
      <c r="AGB12" s="203"/>
      <c r="AGC12" s="203"/>
      <c r="AGD12" s="203"/>
      <c r="AGE12" s="203"/>
      <c r="AGF12" s="203"/>
      <c r="AGG12" s="203"/>
      <c r="AGH12" s="203"/>
      <c r="AGI12" s="203"/>
      <c r="AGJ12" s="203"/>
      <c r="AGK12" s="203"/>
      <c r="AGL12" s="203"/>
      <c r="AGM12" s="203"/>
      <c r="AGN12" s="203"/>
      <c r="AGO12" s="203"/>
      <c r="AGP12" s="203"/>
      <c r="AGQ12" s="203"/>
      <c r="AGR12" s="203"/>
      <c r="AGS12" s="203"/>
      <c r="AGT12" s="203"/>
      <c r="AGU12" s="203"/>
      <c r="AGV12" s="203"/>
      <c r="AGW12" s="203"/>
      <c r="AGX12" s="203"/>
      <c r="AGY12" s="203"/>
      <c r="AGZ12" s="203"/>
      <c r="AHA12" s="203"/>
      <c r="AHB12" s="203"/>
      <c r="AHC12" s="203"/>
      <c r="AHD12" s="203"/>
      <c r="AHE12" s="203"/>
      <c r="AHF12" s="203"/>
      <c r="AHG12" s="203"/>
      <c r="AHH12" s="203"/>
      <c r="AHI12" s="203"/>
      <c r="AHJ12" s="203"/>
      <c r="AHK12" s="203"/>
      <c r="AHL12" s="203"/>
      <c r="AHM12" s="203"/>
      <c r="AHN12" s="203"/>
      <c r="AHO12" s="203"/>
      <c r="AHP12" s="203"/>
      <c r="AHQ12" s="203"/>
      <c r="AHR12" s="203"/>
      <c r="AHS12" s="203"/>
      <c r="AHT12" s="203"/>
      <c r="AHU12" s="203"/>
      <c r="AHV12" s="203"/>
      <c r="AHW12" s="203"/>
      <c r="AHX12" s="203"/>
      <c r="AHY12" s="203"/>
      <c r="AHZ12" s="203"/>
      <c r="AIA12" s="203"/>
      <c r="AIB12" s="203"/>
      <c r="AIC12" s="203"/>
      <c r="AID12" s="203"/>
      <c r="AIE12" s="203"/>
      <c r="AIF12" s="203"/>
      <c r="AIG12" s="203"/>
      <c r="AIH12" s="203"/>
      <c r="AII12" s="203"/>
      <c r="AIJ12" s="203"/>
      <c r="AIK12" s="203"/>
      <c r="AIL12" s="203"/>
      <c r="AIM12" s="203"/>
      <c r="AIN12" s="203"/>
      <c r="AIO12" s="203"/>
      <c r="AIP12" s="203"/>
      <c r="AIQ12" s="203"/>
      <c r="AIR12" s="203"/>
      <c r="AIS12" s="203"/>
      <c r="AIT12" s="203"/>
      <c r="AIU12" s="203"/>
      <c r="AIV12" s="203"/>
      <c r="AIW12" s="203"/>
      <c r="AIX12" s="203"/>
      <c r="AIY12" s="203"/>
      <c r="AIZ12" s="203"/>
      <c r="AJA12" s="203"/>
      <c r="AJB12" s="203"/>
      <c r="AJC12" s="203"/>
      <c r="AJD12" s="203"/>
      <c r="AJE12" s="203"/>
      <c r="AJF12" s="203"/>
      <c r="AJG12" s="203"/>
      <c r="AJH12" s="203"/>
      <c r="AJI12" s="203"/>
      <c r="AJJ12" s="203"/>
      <c r="AJK12" s="203"/>
      <c r="AJL12" s="203"/>
      <c r="AJM12" s="203"/>
      <c r="AJN12" s="203"/>
      <c r="AJO12" s="203"/>
      <c r="AJP12" s="203"/>
      <c r="AJQ12" s="203"/>
      <c r="AJR12" s="203"/>
      <c r="AJS12" s="203"/>
      <c r="AJT12" s="203"/>
      <c r="AJU12" s="203"/>
      <c r="AJV12" s="203"/>
      <c r="AJW12" s="203"/>
      <c r="AJX12" s="203"/>
      <c r="AJY12" s="203"/>
      <c r="AJZ12" s="203"/>
      <c r="AKA12" s="203"/>
      <c r="AKB12" s="203"/>
      <c r="AKC12" s="203"/>
      <c r="AKD12" s="203"/>
      <c r="AKE12" s="203"/>
      <c r="AKF12" s="203"/>
      <c r="AKG12" s="203"/>
      <c r="AKH12" s="203"/>
      <c r="AKI12" s="203"/>
      <c r="AKJ12" s="203"/>
      <c r="AKK12" s="203"/>
      <c r="AKL12" s="203"/>
      <c r="AKM12" s="203"/>
      <c r="AKN12" s="203"/>
      <c r="AKO12" s="203"/>
      <c r="AKP12" s="203"/>
      <c r="AKQ12" s="203"/>
      <c r="AKR12" s="203"/>
      <c r="AKS12" s="203"/>
      <c r="AKT12" s="203"/>
      <c r="AKU12" s="203"/>
      <c r="AKV12" s="203"/>
      <c r="AKW12" s="203"/>
      <c r="AKX12" s="203"/>
      <c r="AKY12" s="203"/>
      <c r="AKZ12" s="203"/>
      <c r="ALA12" s="203"/>
      <c r="ALB12" s="203"/>
      <c r="ALC12" s="203"/>
      <c r="ALD12" s="203"/>
      <c r="ALE12" s="203"/>
      <c r="ALF12" s="203"/>
      <c r="ALG12" s="203"/>
      <c r="ALH12" s="203"/>
      <c r="ALI12" s="203"/>
      <c r="ALJ12" s="203"/>
      <c r="ALK12" s="203"/>
      <c r="ALL12" s="203"/>
      <c r="ALM12" s="203"/>
      <c r="ALN12" s="203"/>
      <c r="ALO12" s="203"/>
      <c r="ALP12" s="203"/>
      <c r="ALQ12" s="203"/>
      <c r="ALR12" s="203"/>
      <c r="ALS12" s="203"/>
      <c r="ALT12" s="203"/>
      <c r="ALU12" s="203"/>
      <c r="ALV12" s="203"/>
      <c r="ALW12" s="203"/>
      <c r="ALX12" s="203"/>
      <c r="ALY12" s="203"/>
      <c r="ALZ12" s="203"/>
      <c r="AMA12" s="203"/>
      <c r="AMB12" s="203"/>
      <c r="AMC12" s="203"/>
      <c r="AMD12" s="203"/>
      <c r="AME12" s="203"/>
      <c r="AMF12" s="203"/>
      <c r="AMG12" s="203"/>
      <c r="AMH12" s="203"/>
      <c r="AMI12" s="203"/>
      <c r="AMJ12" s="203"/>
      <c r="AMK12" s="203"/>
      <c r="AML12" s="203"/>
      <c r="AMM12" s="203"/>
      <c r="AMN12" s="203"/>
      <c r="AMO12" s="203"/>
      <c r="AMP12" s="203"/>
      <c r="AMQ12" s="203"/>
      <c r="AMR12" s="203"/>
      <c r="AMS12" s="203"/>
      <c r="AMT12" s="203"/>
      <c r="AMU12" s="203"/>
      <c r="AMV12" s="203"/>
      <c r="AMW12" s="203"/>
      <c r="AMX12" s="203"/>
      <c r="AMY12" s="203"/>
      <c r="AMZ12" s="203"/>
      <c r="ANA12" s="203"/>
      <c r="ANB12" s="203"/>
      <c r="ANC12" s="203"/>
      <c r="AND12" s="203"/>
      <c r="ANE12" s="203"/>
      <c r="ANF12" s="203"/>
      <c r="ANG12" s="203"/>
      <c r="ANH12" s="203"/>
      <c r="ANI12" s="203"/>
      <c r="ANJ12" s="203"/>
      <c r="ANK12" s="203"/>
      <c r="ANL12" s="203"/>
      <c r="ANM12" s="203"/>
      <c r="ANN12" s="203"/>
      <c r="ANO12" s="203"/>
      <c r="ANP12" s="203"/>
      <c r="ANQ12" s="203"/>
      <c r="ANR12" s="203"/>
      <c r="ANS12" s="203"/>
      <c r="ANT12" s="203"/>
      <c r="ANU12" s="203"/>
      <c r="ANV12" s="203"/>
      <c r="ANW12" s="203"/>
      <c r="ANX12" s="203"/>
      <c r="ANY12" s="203"/>
      <c r="ANZ12" s="203"/>
      <c r="AOA12" s="203"/>
      <c r="AOB12" s="203"/>
      <c r="AOC12" s="203"/>
      <c r="AOD12" s="203"/>
      <c r="AOE12" s="203"/>
      <c r="AOF12" s="203"/>
      <c r="AOG12" s="203"/>
      <c r="AOH12" s="203"/>
      <c r="AOI12" s="203"/>
      <c r="AOJ12" s="203"/>
      <c r="AOK12" s="203"/>
      <c r="AOL12" s="203"/>
      <c r="AOM12" s="203"/>
      <c r="AON12" s="203"/>
      <c r="AOO12" s="203"/>
      <c r="AOP12" s="203"/>
      <c r="AOQ12" s="203"/>
      <c r="AOR12" s="203"/>
      <c r="AOS12" s="203"/>
      <c r="AOT12" s="203"/>
      <c r="AOU12" s="203"/>
      <c r="AOV12" s="203"/>
      <c r="AOW12" s="203"/>
      <c r="AOX12" s="203"/>
      <c r="AOY12" s="203"/>
      <c r="AOZ12" s="203"/>
      <c r="APA12" s="203"/>
      <c r="APB12" s="203"/>
      <c r="APC12" s="203"/>
      <c r="APD12" s="203"/>
      <c r="APE12" s="203"/>
      <c r="APF12" s="203"/>
      <c r="APG12" s="203"/>
      <c r="APH12" s="203"/>
      <c r="API12" s="203"/>
      <c r="APJ12" s="203"/>
      <c r="APK12" s="203"/>
      <c r="APL12" s="203"/>
      <c r="APM12" s="203"/>
      <c r="APN12" s="203"/>
      <c r="APO12" s="203"/>
      <c r="APP12" s="203"/>
      <c r="APQ12" s="203"/>
      <c r="APR12" s="203"/>
      <c r="APS12" s="203"/>
      <c r="APT12" s="203"/>
      <c r="APU12" s="203"/>
      <c r="APV12" s="203"/>
      <c r="APW12" s="203"/>
      <c r="APX12" s="203"/>
      <c r="APY12" s="203"/>
      <c r="APZ12" s="203"/>
      <c r="AQA12" s="203"/>
      <c r="AQB12" s="203"/>
      <c r="AQC12" s="203"/>
      <c r="AQD12" s="203"/>
      <c r="AQE12" s="203"/>
      <c r="AQF12" s="203"/>
      <c r="AQG12" s="203"/>
      <c r="AQH12" s="203"/>
      <c r="AQI12" s="203"/>
      <c r="AQJ12" s="203"/>
      <c r="AQK12" s="203"/>
      <c r="AQL12" s="203"/>
      <c r="AQM12" s="203"/>
      <c r="AQN12" s="203"/>
      <c r="AQO12" s="203"/>
      <c r="AQP12" s="203"/>
      <c r="AQQ12" s="203"/>
      <c r="AQR12" s="203"/>
      <c r="AQS12" s="203"/>
      <c r="AQT12" s="203"/>
      <c r="AQU12" s="203"/>
      <c r="AQV12" s="203"/>
      <c r="AQW12" s="203"/>
      <c r="AQX12" s="203"/>
      <c r="AQY12" s="203"/>
      <c r="AQZ12" s="203"/>
      <c r="ARA12" s="203"/>
      <c r="ARB12" s="90"/>
    </row>
    <row r="13" spans="1:1146" ht="42.75" customHeight="1" thickBot="1" x14ac:dyDescent="0.3">
      <c r="B13" s="96"/>
      <c r="C13" s="221" t="s">
        <v>7</v>
      </c>
      <c r="D13" s="144"/>
      <c r="E13" s="223" t="s">
        <v>41</v>
      </c>
      <c r="F13" s="204" t="s">
        <v>8</v>
      </c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6"/>
      <c r="BN13" s="204" t="s">
        <v>28</v>
      </c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  <c r="BY13" s="205"/>
      <c r="BZ13" s="205"/>
      <c r="CA13" s="205"/>
      <c r="CB13" s="205"/>
      <c r="CC13" s="205"/>
      <c r="CD13" s="205"/>
      <c r="CE13" s="205"/>
      <c r="CF13" s="205"/>
      <c r="CG13" s="205"/>
      <c r="CH13" s="205"/>
      <c r="CI13" s="205"/>
      <c r="CJ13" s="205"/>
      <c r="CK13" s="205"/>
      <c r="CL13" s="205"/>
      <c r="CM13" s="205"/>
      <c r="CN13" s="205"/>
      <c r="CO13" s="205"/>
      <c r="CP13" s="205"/>
      <c r="CQ13" s="205"/>
      <c r="CR13" s="205"/>
      <c r="CS13" s="205"/>
      <c r="CT13" s="205"/>
      <c r="CU13" s="205"/>
      <c r="CV13" s="205"/>
      <c r="CW13" s="205"/>
      <c r="CX13" s="205"/>
      <c r="CY13" s="205"/>
      <c r="CZ13" s="205"/>
      <c r="DA13" s="205"/>
      <c r="DB13" s="205"/>
      <c r="DC13" s="205"/>
      <c r="DD13" s="205"/>
      <c r="DE13" s="205"/>
      <c r="DF13" s="205"/>
      <c r="DG13" s="205"/>
      <c r="DH13" s="205"/>
      <c r="DI13" s="205"/>
      <c r="DJ13" s="205"/>
      <c r="DK13" s="205"/>
      <c r="DL13" s="205"/>
      <c r="DM13" s="205"/>
      <c r="DN13" s="205"/>
      <c r="DO13" s="205"/>
      <c r="DP13" s="205"/>
      <c r="DQ13" s="205"/>
      <c r="DR13" s="205"/>
      <c r="DS13" s="205"/>
      <c r="DT13" s="205"/>
      <c r="DU13" s="206"/>
      <c r="DV13" s="204" t="s">
        <v>19</v>
      </c>
      <c r="DW13" s="205"/>
      <c r="DX13" s="205"/>
      <c r="DY13" s="205"/>
      <c r="DZ13" s="205"/>
      <c r="EA13" s="205"/>
      <c r="EB13" s="205"/>
      <c r="EC13" s="205"/>
      <c r="ED13" s="205"/>
      <c r="EE13" s="205"/>
      <c r="EF13" s="205"/>
      <c r="EG13" s="205"/>
      <c r="EH13" s="205"/>
      <c r="EI13" s="205"/>
      <c r="EJ13" s="205"/>
      <c r="EK13" s="205"/>
      <c r="EL13" s="205"/>
      <c r="EM13" s="205"/>
      <c r="EN13" s="205"/>
      <c r="EO13" s="205"/>
      <c r="EP13" s="205"/>
      <c r="EQ13" s="205"/>
      <c r="ER13" s="205"/>
      <c r="ES13" s="205"/>
      <c r="ET13" s="205"/>
      <c r="EU13" s="205"/>
      <c r="EV13" s="205"/>
      <c r="EW13" s="205"/>
      <c r="EX13" s="205"/>
      <c r="EY13" s="205"/>
      <c r="EZ13" s="205"/>
      <c r="FA13" s="205"/>
      <c r="FB13" s="205"/>
      <c r="FC13" s="205"/>
      <c r="FD13" s="205"/>
      <c r="FE13" s="205"/>
      <c r="FF13" s="205"/>
      <c r="FG13" s="205"/>
      <c r="FH13" s="205"/>
      <c r="FI13" s="205"/>
      <c r="FJ13" s="205"/>
      <c r="FK13" s="205"/>
      <c r="FL13" s="205"/>
      <c r="FM13" s="205"/>
      <c r="FN13" s="205"/>
      <c r="FO13" s="205"/>
      <c r="FP13" s="205"/>
      <c r="FQ13" s="205"/>
      <c r="FR13" s="205"/>
      <c r="FS13" s="205"/>
      <c r="FT13" s="205"/>
      <c r="FU13" s="205"/>
      <c r="FV13" s="205"/>
      <c r="FW13" s="205"/>
      <c r="FX13" s="205"/>
      <c r="FY13" s="205"/>
      <c r="FZ13" s="205"/>
      <c r="GA13" s="205"/>
      <c r="GB13" s="205"/>
      <c r="GC13" s="206"/>
      <c r="GD13" s="204" t="s">
        <v>79</v>
      </c>
      <c r="GE13" s="205"/>
      <c r="GF13" s="205"/>
      <c r="GG13" s="205"/>
      <c r="GH13" s="205"/>
      <c r="GI13" s="205"/>
      <c r="GJ13" s="205"/>
      <c r="GK13" s="205"/>
      <c r="GL13" s="205"/>
      <c r="GM13" s="205"/>
      <c r="GN13" s="205"/>
      <c r="GO13" s="205"/>
      <c r="GP13" s="205"/>
      <c r="GQ13" s="205"/>
      <c r="GR13" s="205"/>
      <c r="GS13" s="205"/>
      <c r="GT13" s="205"/>
      <c r="GU13" s="205"/>
      <c r="GV13" s="205"/>
      <c r="GW13" s="205"/>
      <c r="GX13" s="205"/>
      <c r="GY13" s="205"/>
      <c r="GZ13" s="205"/>
      <c r="HA13" s="205"/>
      <c r="HB13" s="205"/>
      <c r="HC13" s="205"/>
      <c r="HD13" s="205"/>
      <c r="HE13" s="205"/>
      <c r="HF13" s="205"/>
      <c r="HG13" s="205"/>
      <c r="HH13" s="205"/>
      <c r="HI13" s="205"/>
      <c r="HJ13" s="205"/>
      <c r="HK13" s="205"/>
      <c r="HL13" s="205"/>
      <c r="HM13" s="205"/>
      <c r="HN13" s="205"/>
      <c r="HO13" s="205"/>
      <c r="HP13" s="205"/>
      <c r="HQ13" s="205"/>
      <c r="HR13" s="205"/>
      <c r="HS13" s="205"/>
      <c r="HT13" s="205"/>
      <c r="HU13" s="205"/>
      <c r="HV13" s="205"/>
      <c r="HW13" s="205"/>
      <c r="HX13" s="205"/>
      <c r="HY13" s="205"/>
      <c r="HZ13" s="205"/>
      <c r="IA13" s="205"/>
      <c r="IB13" s="205"/>
      <c r="IC13" s="205"/>
      <c r="ID13" s="205"/>
      <c r="IE13" s="205"/>
      <c r="IF13" s="205"/>
      <c r="IG13" s="205"/>
      <c r="IH13" s="205"/>
      <c r="II13" s="205"/>
      <c r="IJ13" s="205"/>
      <c r="IK13" s="206"/>
      <c r="IL13" s="204" t="s">
        <v>78</v>
      </c>
      <c r="IM13" s="205"/>
      <c r="IN13" s="205"/>
      <c r="IO13" s="205"/>
      <c r="IP13" s="205"/>
      <c r="IQ13" s="205"/>
      <c r="IR13" s="205"/>
      <c r="IS13" s="205"/>
      <c r="IT13" s="205"/>
      <c r="IU13" s="205"/>
      <c r="IV13" s="205"/>
      <c r="IW13" s="205"/>
      <c r="IX13" s="205"/>
      <c r="IY13" s="205"/>
      <c r="IZ13" s="205"/>
      <c r="JA13" s="205"/>
      <c r="JB13" s="205"/>
      <c r="JC13" s="205"/>
      <c r="JD13" s="205"/>
      <c r="JE13" s="205"/>
      <c r="JF13" s="205"/>
      <c r="JG13" s="205"/>
      <c r="JH13" s="205"/>
      <c r="JI13" s="205"/>
      <c r="JJ13" s="205"/>
      <c r="JK13" s="205"/>
      <c r="JL13" s="205"/>
      <c r="JM13" s="205"/>
      <c r="JN13" s="205"/>
      <c r="JO13" s="205"/>
      <c r="JP13" s="205"/>
      <c r="JQ13" s="205"/>
      <c r="JR13" s="205"/>
      <c r="JS13" s="205"/>
      <c r="JT13" s="205"/>
      <c r="JU13" s="205"/>
      <c r="JV13" s="205"/>
      <c r="JW13" s="205"/>
      <c r="JX13" s="205"/>
      <c r="JY13" s="205"/>
      <c r="JZ13" s="205"/>
      <c r="KA13" s="205"/>
      <c r="KB13" s="205"/>
      <c r="KC13" s="205"/>
      <c r="KD13" s="205"/>
      <c r="KE13" s="205"/>
      <c r="KF13" s="205"/>
      <c r="KG13" s="205"/>
      <c r="KH13" s="205"/>
      <c r="KI13" s="205"/>
      <c r="KJ13" s="205"/>
      <c r="KK13" s="205"/>
      <c r="KL13" s="205"/>
      <c r="KM13" s="205"/>
      <c r="KN13" s="205"/>
      <c r="KO13" s="205"/>
      <c r="KP13" s="205"/>
      <c r="KQ13" s="205"/>
      <c r="KR13" s="205"/>
      <c r="KS13" s="206"/>
      <c r="KT13" s="204" t="s">
        <v>77</v>
      </c>
      <c r="KU13" s="205"/>
      <c r="KV13" s="205"/>
      <c r="KW13" s="205"/>
      <c r="KX13" s="205"/>
      <c r="KY13" s="205"/>
      <c r="KZ13" s="205"/>
      <c r="LA13" s="205"/>
      <c r="LB13" s="205"/>
      <c r="LC13" s="205"/>
      <c r="LD13" s="205"/>
      <c r="LE13" s="205"/>
      <c r="LF13" s="205"/>
      <c r="LG13" s="205"/>
      <c r="LH13" s="205"/>
      <c r="LI13" s="205"/>
      <c r="LJ13" s="205"/>
      <c r="LK13" s="205"/>
      <c r="LL13" s="205"/>
      <c r="LM13" s="205"/>
      <c r="LN13" s="205"/>
      <c r="LO13" s="205"/>
      <c r="LP13" s="205"/>
      <c r="LQ13" s="205"/>
      <c r="LR13" s="205"/>
      <c r="LS13" s="205"/>
      <c r="LT13" s="205"/>
      <c r="LU13" s="205"/>
      <c r="LV13" s="205"/>
      <c r="LW13" s="205"/>
      <c r="LX13" s="205"/>
      <c r="LY13" s="205"/>
      <c r="LZ13" s="205"/>
      <c r="MA13" s="205"/>
      <c r="MB13" s="205"/>
      <c r="MC13" s="205"/>
      <c r="MD13" s="205"/>
      <c r="ME13" s="205"/>
      <c r="MF13" s="205"/>
      <c r="MG13" s="205"/>
      <c r="MH13" s="205"/>
      <c r="MI13" s="205"/>
      <c r="MJ13" s="205"/>
      <c r="MK13" s="205"/>
      <c r="ML13" s="205"/>
      <c r="MM13" s="205"/>
      <c r="MN13" s="205"/>
      <c r="MO13" s="205"/>
      <c r="MP13" s="205"/>
      <c r="MQ13" s="205"/>
      <c r="MR13" s="205"/>
      <c r="MS13" s="205"/>
      <c r="MT13" s="205"/>
      <c r="MU13" s="205"/>
      <c r="MV13" s="205"/>
      <c r="MW13" s="205"/>
      <c r="MX13" s="205"/>
      <c r="MY13" s="205"/>
      <c r="MZ13" s="205"/>
      <c r="NA13" s="206"/>
      <c r="NB13" s="204" t="s">
        <v>76</v>
      </c>
      <c r="NC13" s="205"/>
      <c r="ND13" s="205"/>
      <c r="NE13" s="205"/>
      <c r="NF13" s="205"/>
      <c r="NG13" s="205"/>
      <c r="NH13" s="205"/>
      <c r="NI13" s="205"/>
      <c r="NJ13" s="205"/>
      <c r="NK13" s="205"/>
      <c r="NL13" s="205"/>
      <c r="NM13" s="205"/>
      <c r="NN13" s="205"/>
      <c r="NO13" s="205"/>
      <c r="NP13" s="205"/>
      <c r="NQ13" s="205"/>
      <c r="NR13" s="205"/>
      <c r="NS13" s="205"/>
      <c r="NT13" s="205"/>
      <c r="NU13" s="205"/>
      <c r="NV13" s="205"/>
      <c r="NW13" s="205"/>
      <c r="NX13" s="205"/>
      <c r="NY13" s="205"/>
      <c r="NZ13" s="205"/>
      <c r="OA13" s="205"/>
      <c r="OB13" s="205"/>
      <c r="OC13" s="205"/>
      <c r="OD13" s="205"/>
      <c r="OE13" s="205"/>
      <c r="OF13" s="205"/>
      <c r="OG13" s="205"/>
      <c r="OH13" s="205"/>
      <c r="OI13" s="205"/>
      <c r="OJ13" s="205"/>
      <c r="OK13" s="205"/>
      <c r="OL13" s="205"/>
      <c r="OM13" s="205"/>
      <c r="ON13" s="205"/>
      <c r="OO13" s="205"/>
      <c r="OP13" s="205"/>
      <c r="OQ13" s="205"/>
      <c r="OR13" s="205"/>
      <c r="OS13" s="205"/>
      <c r="OT13" s="205"/>
      <c r="OU13" s="205"/>
      <c r="OV13" s="205"/>
      <c r="OW13" s="205"/>
      <c r="OX13" s="205"/>
      <c r="OY13" s="205"/>
      <c r="OZ13" s="205"/>
      <c r="PA13" s="205"/>
      <c r="PB13" s="205"/>
      <c r="PC13" s="205"/>
      <c r="PD13" s="205"/>
      <c r="PE13" s="205"/>
      <c r="PF13" s="205"/>
      <c r="PG13" s="205"/>
      <c r="PH13" s="205"/>
      <c r="PI13" s="206"/>
      <c r="PJ13" s="204" t="s">
        <v>89</v>
      </c>
      <c r="PK13" s="205"/>
      <c r="PL13" s="205"/>
      <c r="PM13" s="205"/>
      <c r="PN13" s="205"/>
      <c r="PO13" s="205"/>
      <c r="PP13" s="205"/>
      <c r="PQ13" s="205"/>
      <c r="PR13" s="205"/>
      <c r="PS13" s="205"/>
      <c r="PT13" s="205"/>
      <c r="PU13" s="205"/>
      <c r="PV13" s="205"/>
      <c r="PW13" s="205"/>
      <c r="PX13" s="205"/>
      <c r="PY13" s="205"/>
      <c r="PZ13" s="205"/>
      <c r="QA13" s="205"/>
      <c r="QB13" s="205"/>
      <c r="QC13" s="205"/>
      <c r="QD13" s="205"/>
      <c r="QE13" s="205"/>
      <c r="QF13" s="205"/>
      <c r="QG13" s="205"/>
      <c r="QH13" s="205"/>
      <c r="QI13" s="205"/>
      <c r="QJ13" s="205"/>
      <c r="QK13" s="205"/>
      <c r="QL13" s="205"/>
      <c r="QM13" s="205"/>
      <c r="QN13" s="205"/>
      <c r="QO13" s="205"/>
      <c r="QP13" s="205"/>
      <c r="QQ13" s="205"/>
      <c r="QR13" s="205"/>
      <c r="QS13" s="205"/>
      <c r="QT13" s="205"/>
      <c r="QU13" s="205"/>
      <c r="QV13" s="205"/>
      <c r="QW13" s="205"/>
      <c r="QX13" s="205"/>
      <c r="QY13" s="205"/>
      <c r="QZ13" s="205"/>
      <c r="RA13" s="205"/>
      <c r="RB13" s="205"/>
      <c r="RC13" s="205"/>
      <c r="RD13" s="205"/>
      <c r="RE13" s="205"/>
      <c r="RF13" s="205"/>
      <c r="RG13" s="205"/>
      <c r="RH13" s="205"/>
      <c r="RI13" s="205"/>
      <c r="RJ13" s="205"/>
      <c r="RK13" s="205"/>
      <c r="RL13" s="205"/>
      <c r="RM13" s="205"/>
      <c r="RN13" s="205"/>
      <c r="RO13" s="205"/>
      <c r="RP13" s="205"/>
      <c r="RQ13" s="206"/>
      <c r="RR13" s="204" t="s">
        <v>91</v>
      </c>
      <c r="RS13" s="205"/>
      <c r="RT13" s="205"/>
      <c r="RU13" s="205"/>
      <c r="RV13" s="205"/>
      <c r="RW13" s="205"/>
      <c r="RX13" s="205"/>
      <c r="RY13" s="205"/>
      <c r="RZ13" s="205"/>
      <c r="SA13" s="205"/>
      <c r="SB13" s="205"/>
      <c r="SC13" s="205"/>
      <c r="SD13" s="205"/>
      <c r="SE13" s="205"/>
      <c r="SF13" s="205"/>
      <c r="SG13" s="205"/>
      <c r="SH13" s="205"/>
      <c r="SI13" s="205"/>
      <c r="SJ13" s="205"/>
      <c r="SK13" s="205"/>
      <c r="SL13" s="205"/>
      <c r="SM13" s="205"/>
      <c r="SN13" s="205"/>
      <c r="SO13" s="205"/>
      <c r="SP13" s="205"/>
      <c r="SQ13" s="205"/>
      <c r="SR13" s="205"/>
      <c r="SS13" s="205"/>
      <c r="ST13" s="205"/>
      <c r="SU13" s="205"/>
      <c r="SV13" s="205"/>
      <c r="SW13" s="205"/>
      <c r="SX13" s="205"/>
      <c r="SY13" s="205"/>
      <c r="SZ13" s="205"/>
      <c r="TA13" s="205"/>
      <c r="TB13" s="205"/>
      <c r="TC13" s="205"/>
      <c r="TD13" s="205"/>
      <c r="TE13" s="205"/>
      <c r="TF13" s="205"/>
      <c r="TG13" s="205"/>
      <c r="TH13" s="205"/>
      <c r="TI13" s="205"/>
      <c r="TJ13" s="205"/>
      <c r="TK13" s="205"/>
      <c r="TL13" s="205"/>
      <c r="TM13" s="205"/>
      <c r="TN13" s="205"/>
      <c r="TO13" s="205"/>
      <c r="TP13" s="205"/>
      <c r="TQ13" s="205"/>
      <c r="TR13" s="205"/>
      <c r="TS13" s="205"/>
      <c r="TT13" s="205"/>
      <c r="TU13" s="205"/>
      <c r="TV13" s="205"/>
      <c r="TW13" s="205"/>
      <c r="TX13" s="205"/>
      <c r="TY13" s="206"/>
      <c r="TZ13" s="204" t="s">
        <v>90</v>
      </c>
      <c r="UA13" s="205"/>
      <c r="UB13" s="205"/>
      <c r="UC13" s="205"/>
      <c r="UD13" s="205"/>
      <c r="UE13" s="205"/>
      <c r="UF13" s="205"/>
      <c r="UG13" s="205"/>
      <c r="UH13" s="205"/>
      <c r="UI13" s="205"/>
      <c r="UJ13" s="205"/>
      <c r="UK13" s="205"/>
      <c r="UL13" s="205"/>
      <c r="UM13" s="205"/>
      <c r="UN13" s="205"/>
      <c r="UO13" s="205"/>
      <c r="UP13" s="205"/>
      <c r="UQ13" s="205"/>
      <c r="UR13" s="205"/>
      <c r="US13" s="205"/>
      <c r="UT13" s="205"/>
      <c r="UU13" s="205"/>
      <c r="UV13" s="205"/>
      <c r="UW13" s="205"/>
      <c r="UX13" s="205"/>
      <c r="UY13" s="205"/>
      <c r="UZ13" s="205"/>
      <c r="VA13" s="205"/>
      <c r="VB13" s="205"/>
      <c r="VC13" s="205"/>
      <c r="VD13" s="205"/>
      <c r="VE13" s="205"/>
      <c r="VF13" s="205"/>
      <c r="VG13" s="205"/>
      <c r="VH13" s="205"/>
      <c r="VI13" s="205"/>
      <c r="VJ13" s="205"/>
      <c r="VK13" s="205"/>
      <c r="VL13" s="205"/>
      <c r="VM13" s="205"/>
      <c r="VN13" s="205"/>
      <c r="VO13" s="205"/>
      <c r="VP13" s="205"/>
      <c r="VQ13" s="205"/>
      <c r="VR13" s="205"/>
      <c r="VS13" s="205"/>
      <c r="VT13" s="205"/>
      <c r="VU13" s="205"/>
      <c r="VV13" s="205"/>
      <c r="VW13" s="205"/>
      <c r="VX13" s="205"/>
      <c r="VY13" s="205"/>
      <c r="VZ13" s="205"/>
      <c r="WA13" s="205"/>
      <c r="WB13" s="205"/>
      <c r="WC13" s="205"/>
      <c r="WD13" s="205"/>
      <c r="WE13" s="205"/>
      <c r="WF13" s="205"/>
      <c r="WG13" s="206"/>
      <c r="WH13" s="204" t="s">
        <v>96</v>
      </c>
      <c r="WI13" s="205"/>
      <c r="WJ13" s="205"/>
      <c r="WK13" s="205"/>
      <c r="WL13" s="205"/>
      <c r="WM13" s="205"/>
      <c r="WN13" s="205"/>
      <c r="WO13" s="205"/>
      <c r="WP13" s="205"/>
      <c r="WQ13" s="205"/>
      <c r="WR13" s="205"/>
      <c r="WS13" s="205"/>
      <c r="WT13" s="205"/>
      <c r="WU13" s="205"/>
      <c r="WV13" s="205"/>
      <c r="WW13" s="205"/>
      <c r="WX13" s="205"/>
      <c r="WY13" s="205"/>
      <c r="WZ13" s="205"/>
      <c r="XA13" s="205"/>
      <c r="XB13" s="205"/>
      <c r="XC13" s="205"/>
      <c r="XD13" s="205"/>
      <c r="XE13" s="205"/>
      <c r="XF13" s="205"/>
      <c r="XG13" s="205"/>
      <c r="XH13" s="205"/>
      <c r="XI13" s="205"/>
      <c r="XJ13" s="205"/>
      <c r="XK13" s="205"/>
      <c r="XL13" s="205"/>
      <c r="XM13" s="205"/>
      <c r="XN13" s="205"/>
      <c r="XO13" s="205"/>
      <c r="XP13" s="205"/>
      <c r="XQ13" s="205"/>
      <c r="XR13" s="205"/>
      <c r="XS13" s="205"/>
      <c r="XT13" s="205"/>
      <c r="XU13" s="205"/>
      <c r="XV13" s="205"/>
      <c r="XW13" s="205"/>
      <c r="XX13" s="205"/>
      <c r="XY13" s="205"/>
      <c r="XZ13" s="205"/>
      <c r="YA13" s="205"/>
      <c r="YB13" s="205"/>
      <c r="YC13" s="205"/>
      <c r="YD13" s="205"/>
      <c r="YE13" s="205"/>
      <c r="YF13" s="205"/>
      <c r="YG13" s="205"/>
      <c r="YH13" s="205"/>
      <c r="YI13" s="205"/>
      <c r="YJ13" s="205"/>
      <c r="YK13" s="205"/>
      <c r="YL13" s="205"/>
      <c r="YM13" s="205"/>
      <c r="YN13" s="205"/>
      <c r="YO13" s="206"/>
      <c r="YP13" s="204" t="s">
        <v>97</v>
      </c>
      <c r="YQ13" s="205"/>
      <c r="YR13" s="205"/>
      <c r="YS13" s="205"/>
      <c r="YT13" s="205"/>
      <c r="YU13" s="205"/>
      <c r="YV13" s="205"/>
      <c r="YW13" s="205"/>
      <c r="YX13" s="205"/>
      <c r="YY13" s="205"/>
      <c r="YZ13" s="205"/>
      <c r="ZA13" s="205"/>
      <c r="ZB13" s="205"/>
      <c r="ZC13" s="205"/>
      <c r="ZD13" s="205"/>
      <c r="ZE13" s="205"/>
      <c r="ZF13" s="205"/>
      <c r="ZG13" s="205"/>
      <c r="ZH13" s="205"/>
      <c r="ZI13" s="205"/>
      <c r="ZJ13" s="205"/>
      <c r="ZK13" s="205"/>
      <c r="ZL13" s="205"/>
      <c r="ZM13" s="205"/>
      <c r="ZN13" s="205"/>
      <c r="ZO13" s="205"/>
      <c r="ZP13" s="205"/>
      <c r="ZQ13" s="205"/>
      <c r="ZR13" s="205"/>
      <c r="ZS13" s="205"/>
      <c r="ZT13" s="205"/>
      <c r="ZU13" s="205"/>
      <c r="ZV13" s="205"/>
      <c r="ZW13" s="205"/>
      <c r="ZX13" s="205"/>
      <c r="ZY13" s="205"/>
      <c r="ZZ13" s="205"/>
      <c r="AAA13" s="205"/>
      <c r="AAB13" s="205"/>
      <c r="AAC13" s="205"/>
      <c r="AAD13" s="205"/>
      <c r="AAE13" s="205"/>
      <c r="AAF13" s="205"/>
      <c r="AAG13" s="205"/>
      <c r="AAH13" s="205"/>
      <c r="AAI13" s="205"/>
      <c r="AAJ13" s="205"/>
      <c r="AAK13" s="205"/>
      <c r="AAL13" s="205"/>
      <c r="AAM13" s="205"/>
      <c r="AAN13" s="205"/>
      <c r="AAO13" s="205"/>
      <c r="AAP13" s="205"/>
      <c r="AAQ13" s="205"/>
      <c r="AAR13" s="205"/>
      <c r="AAS13" s="205"/>
      <c r="AAT13" s="205"/>
      <c r="AAU13" s="205"/>
      <c r="AAV13" s="205"/>
      <c r="AAW13" s="206"/>
      <c r="AAX13" s="204" t="s">
        <v>108</v>
      </c>
      <c r="AAY13" s="205"/>
      <c r="AAZ13" s="205"/>
      <c r="ABA13" s="205"/>
      <c r="ABB13" s="205"/>
      <c r="ABC13" s="205"/>
      <c r="ABD13" s="205"/>
      <c r="ABE13" s="205"/>
      <c r="ABF13" s="205"/>
      <c r="ABG13" s="205"/>
      <c r="ABH13" s="205"/>
      <c r="ABI13" s="205"/>
      <c r="ABJ13" s="205"/>
      <c r="ABK13" s="205"/>
      <c r="ABL13" s="205"/>
      <c r="ABM13" s="205"/>
      <c r="ABN13" s="205"/>
      <c r="ABO13" s="205"/>
      <c r="ABP13" s="205"/>
      <c r="ABQ13" s="205"/>
      <c r="ABR13" s="205"/>
      <c r="ABS13" s="205"/>
      <c r="ABT13" s="205"/>
      <c r="ABU13" s="205"/>
      <c r="ABV13" s="205"/>
      <c r="ABW13" s="205"/>
      <c r="ABX13" s="205"/>
      <c r="ABY13" s="205"/>
      <c r="ABZ13" s="205"/>
      <c r="ACA13" s="205"/>
      <c r="ACB13" s="205"/>
      <c r="ACC13" s="205"/>
      <c r="ACD13" s="205"/>
      <c r="ACE13" s="205"/>
      <c r="ACF13" s="205"/>
      <c r="ACG13" s="205"/>
      <c r="ACH13" s="205"/>
      <c r="ACI13" s="205"/>
      <c r="ACJ13" s="205"/>
      <c r="ACK13" s="205"/>
      <c r="ACL13" s="205"/>
      <c r="ACM13" s="205"/>
      <c r="ACN13" s="205"/>
      <c r="ACO13" s="205"/>
      <c r="ACP13" s="205"/>
      <c r="ACQ13" s="205"/>
      <c r="ACR13" s="205"/>
      <c r="ACS13" s="205"/>
      <c r="ACT13" s="205"/>
      <c r="ACU13" s="205"/>
      <c r="ACV13" s="205"/>
      <c r="ACW13" s="205"/>
      <c r="ACX13" s="205"/>
      <c r="ACY13" s="205"/>
      <c r="ACZ13" s="205"/>
      <c r="ADA13" s="205"/>
      <c r="ADB13" s="205"/>
      <c r="ADC13" s="205"/>
      <c r="ADD13" s="205"/>
      <c r="ADE13" s="206"/>
      <c r="ADF13" s="204" t="s">
        <v>107</v>
      </c>
      <c r="ADG13" s="205"/>
      <c r="ADH13" s="205"/>
      <c r="ADI13" s="205"/>
      <c r="ADJ13" s="205"/>
      <c r="ADK13" s="205"/>
      <c r="ADL13" s="205"/>
      <c r="ADM13" s="205"/>
      <c r="ADN13" s="205"/>
      <c r="ADO13" s="205"/>
      <c r="ADP13" s="205"/>
      <c r="ADQ13" s="205"/>
      <c r="ADR13" s="205"/>
      <c r="ADS13" s="205"/>
      <c r="ADT13" s="205"/>
      <c r="ADU13" s="205"/>
      <c r="ADV13" s="205"/>
      <c r="ADW13" s="205"/>
      <c r="ADX13" s="205"/>
      <c r="ADY13" s="205"/>
      <c r="ADZ13" s="205"/>
      <c r="AEA13" s="205"/>
      <c r="AEB13" s="205"/>
      <c r="AEC13" s="205"/>
      <c r="AED13" s="205"/>
      <c r="AEE13" s="205"/>
      <c r="AEF13" s="205"/>
      <c r="AEG13" s="205"/>
      <c r="AEH13" s="205"/>
      <c r="AEI13" s="205"/>
      <c r="AEJ13" s="205"/>
      <c r="AEK13" s="205"/>
      <c r="AEL13" s="205"/>
      <c r="AEM13" s="205"/>
      <c r="AEN13" s="205"/>
      <c r="AEO13" s="205"/>
      <c r="AEP13" s="205"/>
      <c r="AEQ13" s="205"/>
      <c r="AER13" s="205"/>
      <c r="AES13" s="205"/>
      <c r="AET13" s="205"/>
      <c r="AEU13" s="205"/>
      <c r="AEV13" s="205"/>
      <c r="AEW13" s="205"/>
      <c r="AEX13" s="205"/>
      <c r="AEY13" s="205"/>
      <c r="AEZ13" s="205"/>
      <c r="AFA13" s="205"/>
      <c r="AFB13" s="205"/>
      <c r="AFC13" s="205"/>
      <c r="AFD13" s="205"/>
      <c r="AFE13" s="205"/>
      <c r="AFF13" s="205"/>
      <c r="AFG13" s="205"/>
      <c r="AFH13" s="205"/>
      <c r="AFI13" s="205"/>
      <c r="AFJ13" s="205"/>
      <c r="AFK13" s="205"/>
      <c r="AFL13" s="205"/>
      <c r="AFM13" s="206"/>
      <c r="AFN13" s="204" t="s">
        <v>125</v>
      </c>
      <c r="AFO13" s="205"/>
      <c r="AFP13" s="205"/>
      <c r="AFQ13" s="205"/>
      <c r="AFR13" s="205"/>
      <c r="AFS13" s="205"/>
      <c r="AFT13" s="205"/>
      <c r="AFU13" s="205"/>
      <c r="AFV13" s="205"/>
      <c r="AFW13" s="205"/>
      <c r="AFX13" s="205"/>
      <c r="AFY13" s="205"/>
      <c r="AFZ13" s="205"/>
      <c r="AGA13" s="205"/>
      <c r="AGB13" s="205"/>
      <c r="AGC13" s="205"/>
      <c r="AGD13" s="205"/>
      <c r="AGE13" s="205"/>
      <c r="AGF13" s="205"/>
      <c r="AGG13" s="205"/>
      <c r="AGH13" s="205"/>
      <c r="AGI13" s="205"/>
      <c r="AGJ13" s="205"/>
      <c r="AGK13" s="205"/>
      <c r="AGL13" s="205"/>
      <c r="AGM13" s="205"/>
      <c r="AGN13" s="205"/>
      <c r="AGO13" s="205"/>
      <c r="AGP13" s="205"/>
      <c r="AGQ13" s="205"/>
      <c r="AGR13" s="205"/>
      <c r="AGS13" s="205"/>
      <c r="AGT13" s="205"/>
      <c r="AGU13" s="205"/>
      <c r="AGV13" s="205"/>
      <c r="AGW13" s="205"/>
      <c r="AGX13" s="205"/>
      <c r="AGY13" s="205"/>
      <c r="AGZ13" s="205"/>
      <c r="AHA13" s="205"/>
      <c r="AHB13" s="205"/>
      <c r="AHC13" s="205"/>
      <c r="AHD13" s="205"/>
      <c r="AHE13" s="205"/>
      <c r="AHF13" s="205"/>
      <c r="AHG13" s="205"/>
      <c r="AHH13" s="205"/>
      <c r="AHI13" s="205"/>
      <c r="AHJ13" s="205"/>
      <c r="AHK13" s="205"/>
      <c r="AHL13" s="205"/>
      <c r="AHM13" s="205"/>
      <c r="AHN13" s="205"/>
      <c r="AHO13" s="205"/>
      <c r="AHP13" s="205"/>
      <c r="AHQ13" s="205"/>
      <c r="AHR13" s="205"/>
      <c r="AHS13" s="205"/>
      <c r="AHT13" s="205"/>
      <c r="AHU13" s="206"/>
      <c r="AHV13" s="204" t="s">
        <v>124</v>
      </c>
      <c r="AHW13" s="205"/>
      <c r="AHX13" s="205"/>
      <c r="AHY13" s="205"/>
      <c r="AHZ13" s="205"/>
      <c r="AIA13" s="205"/>
      <c r="AIB13" s="205"/>
      <c r="AIC13" s="205"/>
      <c r="AID13" s="205"/>
      <c r="AIE13" s="205"/>
      <c r="AIF13" s="205"/>
      <c r="AIG13" s="205"/>
      <c r="AIH13" s="205"/>
      <c r="AII13" s="205"/>
      <c r="AIJ13" s="205"/>
      <c r="AIK13" s="205"/>
      <c r="AIL13" s="205"/>
      <c r="AIM13" s="205"/>
      <c r="AIN13" s="205"/>
      <c r="AIO13" s="205"/>
      <c r="AIP13" s="205"/>
      <c r="AIQ13" s="205"/>
      <c r="AIR13" s="205"/>
      <c r="AIS13" s="205"/>
      <c r="AIT13" s="205"/>
      <c r="AIU13" s="205"/>
      <c r="AIV13" s="205"/>
      <c r="AIW13" s="205"/>
      <c r="AIX13" s="205"/>
      <c r="AIY13" s="205"/>
      <c r="AIZ13" s="205"/>
      <c r="AJA13" s="205"/>
      <c r="AJB13" s="205"/>
      <c r="AJC13" s="205"/>
      <c r="AJD13" s="205"/>
      <c r="AJE13" s="205"/>
      <c r="AJF13" s="205"/>
      <c r="AJG13" s="205"/>
      <c r="AJH13" s="205"/>
      <c r="AJI13" s="205"/>
      <c r="AJJ13" s="205"/>
      <c r="AJK13" s="205"/>
      <c r="AJL13" s="205"/>
      <c r="AJM13" s="205"/>
      <c r="AJN13" s="205"/>
      <c r="AJO13" s="205"/>
      <c r="AJP13" s="205"/>
      <c r="AJQ13" s="205"/>
      <c r="AJR13" s="205"/>
      <c r="AJS13" s="205"/>
      <c r="AJT13" s="205"/>
      <c r="AJU13" s="205"/>
      <c r="AJV13" s="205"/>
      <c r="AJW13" s="205"/>
      <c r="AJX13" s="205"/>
      <c r="AJY13" s="205"/>
      <c r="AJZ13" s="205"/>
      <c r="AKA13" s="205"/>
      <c r="AKB13" s="205"/>
      <c r="AKC13" s="206"/>
      <c r="AKD13" s="204" t="s">
        <v>123</v>
      </c>
      <c r="AKE13" s="205"/>
      <c r="AKF13" s="205"/>
      <c r="AKG13" s="205"/>
      <c r="AKH13" s="205"/>
      <c r="AKI13" s="205"/>
      <c r="AKJ13" s="205"/>
      <c r="AKK13" s="205"/>
      <c r="AKL13" s="205"/>
      <c r="AKM13" s="205"/>
      <c r="AKN13" s="205"/>
      <c r="AKO13" s="205"/>
      <c r="AKP13" s="205"/>
      <c r="AKQ13" s="205"/>
      <c r="AKR13" s="205"/>
      <c r="AKS13" s="205"/>
      <c r="AKT13" s="205"/>
      <c r="AKU13" s="205"/>
      <c r="AKV13" s="205"/>
      <c r="AKW13" s="205"/>
      <c r="AKX13" s="205"/>
      <c r="AKY13" s="205"/>
      <c r="AKZ13" s="205"/>
      <c r="ALA13" s="205"/>
      <c r="ALB13" s="205"/>
      <c r="ALC13" s="205"/>
      <c r="ALD13" s="205"/>
      <c r="ALE13" s="205"/>
      <c r="ALF13" s="205"/>
      <c r="ALG13" s="205"/>
      <c r="ALH13" s="205"/>
      <c r="ALI13" s="205"/>
      <c r="ALJ13" s="205"/>
      <c r="ALK13" s="205"/>
      <c r="ALL13" s="205"/>
      <c r="ALM13" s="205"/>
      <c r="ALN13" s="205"/>
      <c r="ALO13" s="205"/>
      <c r="ALP13" s="205"/>
      <c r="ALQ13" s="205"/>
      <c r="ALR13" s="205"/>
      <c r="ALS13" s="205"/>
      <c r="ALT13" s="205"/>
      <c r="ALU13" s="205"/>
      <c r="ALV13" s="205"/>
      <c r="ALW13" s="205"/>
      <c r="ALX13" s="205"/>
      <c r="ALY13" s="205"/>
      <c r="ALZ13" s="205"/>
      <c r="AMA13" s="205"/>
      <c r="AMB13" s="205"/>
      <c r="AMC13" s="205"/>
      <c r="AMD13" s="205"/>
      <c r="AME13" s="205"/>
      <c r="AMF13" s="205"/>
      <c r="AMG13" s="205"/>
      <c r="AMH13" s="205"/>
      <c r="AMI13" s="205"/>
      <c r="AMJ13" s="205"/>
      <c r="AMK13" s="206"/>
      <c r="AML13" s="204" t="s">
        <v>122</v>
      </c>
      <c r="AMM13" s="205"/>
      <c r="AMN13" s="205"/>
      <c r="AMO13" s="205"/>
      <c r="AMP13" s="205"/>
      <c r="AMQ13" s="205"/>
      <c r="AMR13" s="205"/>
      <c r="AMS13" s="205"/>
      <c r="AMT13" s="205"/>
      <c r="AMU13" s="205"/>
      <c r="AMV13" s="205"/>
      <c r="AMW13" s="205"/>
      <c r="AMX13" s="205"/>
      <c r="AMY13" s="205"/>
      <c r="AMZ13" s="205"/>
      <c r="ANA13" s="205"/>
      <c r="ANB13" s="205"/>
      <c r="ANC13" s="205"/>
      <c r="AND13" s="205"/>
      <c r="ANE13" s="205"/>
      <c r="ANF13" s="205"/>
      <c r="ANG13" s="205"/>
      <c r="ANH13" s="205"/>
      <c r="ANI13" s="205"/>
      <c r="ANJ13" s="205"/>
      <c r="ANK13" s="205"/>
      <c r="ANL13" s="205"/>
      <c r="ANM13" s="205"/>
      <c r="ANN13" s="205"/>
      <c r="ANO13" s="205"/>
      <c r="ANP13" s="205"/>
      <c r="ANQ13" s="205"/>
      <c r="ANR13" s="205"/>
      <c r="ANS13" s="205"/>
      <c r="ANT13" s="205"/>
      <c r="ANU13" s="205"/>
      <c r="ANV13" s="205"/>
      <c r="ANW13" s="205"/>
      <c r="ANX13" s="205"/>
      <c r="ANY13" s="205"/>
      <c r="ANZ13" s="205"/>
      <c r="AOA13" s="205"/>
      <c r="AOB13" s="205"/>
      <c r="AOC13" s="205"/>
      <c r="AOD13" s="205"/>
      <c r="AOE13" s="205"/>
      <c r="AOF13" s="205"/>
      <c r="AOG13" s="205"/>
      <c r="AOH13" s="205"/>
      <c r="AOI13" s="205"/>
      <c r="AOJ13" s="205"/>
      <c r="AOK13" s="205"/>
      <c r="AOL13" s="205"/>
      <c r="AOM13" s="205"/>
      <c r="AON13" s="205"/>
      <c r="AOO13" s="205"/>
      <c r="AOP13" s="205"/>
      <c r="AOQ13" s="205"/>
      <c r="AOR13" s="205"/>
      <c r="AOS13" s="206"/>
      <c r="AOT13" s="204" t="s">
        <v>121</v>
      </c>
      <c r="AOU13" s="205"/>
      <c r="AOV13" s="205"/>
      <c r="AOW13" s="205"/>
      <c r="AOX13" s="205"/>
      <c r="AOY13" s="205"/>
      <c r="AOZ13" s="205"/>
      <c r="APA13" s="205"/>
      <c r="APB13" s="205"/>
      <c r="APC13" s="205"/>
      <c r="APD13" s="205"/>
      <c r="APE13" s="205"/>
      <c r="APF13" s="205"/>
      <c r="APG13" s="205"/>
      <c r="APH13" s="205"/>
      <c r="API13" s="205"/>
      <c r="APJ13" s="205"/>
      <c r="APK13" s="205"/>
      <c r="APL13" s="205"/>
      <c r="APM13" s="205"/>
      <c r="APN13" s="205"/>
      <c r="APO13" s="205"/>
      <c r="APP13" s="205"/>
      <c r="APQ13" s="205"/>
      <c r="APR13" s="205"/>
      <c r="APS13" s="205"/>
      <c r="APT13" s="205"/>
      <c r="APU13" s="205"/>
      <c r="APV13" s="205"/>
      <c r="APW13" s="205"/>
      <c r="APX13" s="205"/>
      <c r="APY13" s="205"/>
      <c r="APZ13" s="205"/>
      <c r="AQA13" s="205"/>
      <c r="AQB13" s="205"/>
      <c r="AQC13" s="205"/>
      <c r="AQD13" s="205"/>
      <c r="AQE13" s="205"/>
      <c r="AQF13" s="205"/>
      <c r="AQG13" s="205"/>
      <c r="AQH13" s="205"/>
      <c r="AQI13" s="205"/>
      <c r="AQJ13" s="205"/>
      <c r="AQK13" s="205"/>
      <c r="AQL13" s="205"/>
      <c r="AQM13" s="205"/>
      <c r="AQN13" s="205"/>
      <c r="AQO13" s="205"/>
      <c r="AQP13" s="205"/>
      <c r="AQQ13" s="205"/>
      <c r="AQR13" s="205"/>
      <c r="AQS13" s="205"/>
      <c r="AQT13" s="205"/>
      <c r="AQU13" s="205"/>
      <c r="AQV13" s="205"/>
      <c r="AQW13" s="205"/>
      <c r="AQX13" s="205"/>
      <c r="AQY13" s="205"/>
      <c r="AQZ13" s="205"/>
      <c r="ARA13" s="206"/>
      <c r="ARB13" s="90"/>
    </row>
    <row r="14" spans="1:1146" ht="12.75" customHeight="1" thickBot="1" x14ac:dyDescent="0.35">
      <c r="B14" s="96"/>
      <c r="C14" s="222"/>
      <c r="D14" s="145"/>
      <c r="E14" s="224"/>
      <c r="F14" s="103"/>
      <c r="G14" s="104"/>
      <c r="H14" s="104"/>
      <c r="I14" s="104"/>
      <c r="J14" s="207" t="s">
        <v>36</v>
      </c>
      <c r="K14" s="207"/>
      <c r="L14" s="207"/>
      <c r="M14" s="207"/>
      <c r="N14" s="104"/>
      <c r="O14" s="104"/>
      <c r="P14" s="208" t="s">
        <v>24</v>
      </c>
      <c r="Q14" s="208"/>
      <c r="R14" s="208"/>
      <c r="S14" s="208"/>
      <c r="T14" s="129"/>
      <c r="U14" s="129"/>
      <c r="V14" s="207" t="s">
        <v>37</v>
      </c>
      <c r="W14" s="207"/>
      <c r="X14" s="207"/>
      <c r="Y14" s="207"/>
      <c r="Z14" s="104"/>
      <c r="AA14" s="104"/>
      <c r="AB14" s="208" t="s">
        <v>25</v>
      </c>
      <c r="AC14" s="208"/>
      <c r="AD14" s="208"/>
      <c r="AE14" s="208"/>
      <c r="AF14" s="129"/>
      <c r="AG14" s="129"/>
      <c r="AH14" s="207" t="s">
        <v>38</v>
      </c>
      <c r="AI14" s="207"/>
      <c r="AJ14" s="207"/>
      <c r="AK14" s="207"/>
      <c r="AL14" s="104"/>
      <c r="AM14" s="104"/>
      <c r="AN14" s="208" t="s">
        <v>26</v>
      </c>
      <c r="AO14" s="208"/>
      <c r="AP14" s="208"/>
      <c r="AQ14" s="208"/>
      <c r="AR14" s="129"/>
      <c r="AS14" s="129"/>
      <c r="AT14" s="207" t="s">
        <v>39</v>
      </c>
      <c r="AU14" s="207"/>
      <c r="AV14" s="207"/>
      <c r="AW14" s="207"/>
      <c r="AX14" s="104"/>
      <c r="AY14" s="104"/>
      <c r="AZ14" s="208" t="s">
        <v>27</v>
      </c>
      <c r="BA14" s="208"/>
      <c r="BB14" s="208"/>
      <c r="BC14" s="208"/>
      <c r="BD14" s="129"/>
      <c r="BE14" s="129"/>
      <c r="BF14" s="207" t="s">
        <v>40</v>
      </c>
      <c r="BG14" s="207"/>
      <c r="BH14" s="207"/>
      <c r="BI14" s="207"/>
      <c r="BJ14" s="104"/>
      <c r="BK14" s="104"/>
      <c r="BL14" s="104"/>
      <c r="BM14" s="105"/>
      <c r="BN14" s="103"/>
      <c r="BO14" s="104"/>
      <c r="BP14" s="104"/>
      <c r="BQ14" s="104"/>
      <c r="BR14" s="207" t="s">
        <v>36</v>
      </c>
      <c r="BS14" s="207"/>
      <c r="BT14" s="207"/>
      <c r="BU14" s="207"/>
      <c r="BV14" s="104"/>
      <c r="BW14" s="104"/>
      <c r="BX14" s="208" t="s">
        <v>24</v>
      </c>
      <c r="BY14" s="208"/>
      <c r="BZ14" s="208"/>
      <c r="CA14" s="208"/>
      <c r="CB14" s="129"/>
      <c r="CC14" s="129"/>
      <c r="CD14" s="207" t="s">
        <v>37</v>
      </c>
      <c r="CE14" s="207"/>
      <c r="CF14" s="207"/>
      <c r="CG14" s="207"/>
      <c r="CH14" s="104"/>
      <c r="CI14" s="104"/>
      <c r="CJ14" s="208" t="s">
        <v>25</v>
      </c>
      <c r="CK14" s="208"/>
      <c r="CL14" s="208"/>
      <c r="CM14" s="208"/>
      <c r="CN14" s="129"/>
      <c r="CO14" s="129"/>
      <c r="CP14" s="207" t="s">
        <v>38</v>
      </c>
      <c r="CQ14" s="207"/>
      <c r="CR14" s="207"/>
      <c r="CS14" s="207"/>
      <c r="CT14" s="104"/>
      <c r="CU14" s="104"/>
      <c r="CV14" s="208" t="s">
        <v>26</v>
      </c>
      <c r="CW14" s="208"/>
      <c r="CX14" s="208"/>
      <c r="CY14" s="208"/>
      <c r="CZ14" s="129"/>
      <c r="DA14" s="129"/>
      <c r="DB14" s="207" t="s">
        <v>39</v>
      </c>
      <c r="DC14" s="207"/>
      <c r="DD14" s="207"/>
      <c r="DE14" s="207"/>
      <c r="DF14" s="104"/>
      <c r="DG14" s="104"/>
      <c r="DH14" s="208" t="s">
        <v>27</v>
      </c>
      <c r="DI14" s="208"/>
      <c r="DJ14" s="208"/>
      <c r="DK14" s="208"/>
      <c r="DL14" s="129"/>
      <c r="DM14" s="129"/>
      <c r="DN14" s="207" t="s">
        <v>40</v>
      </c>
      <c r="DO14" s="207"/>
      <c r="DP14" s="207"/>
      <c r="DQ14" s="207"/>
      <c r="DR14" s="104"/>
      <c r="DS14" s="104"/>
      <c r="DT14" s="104"/>
      <c r="DU14" s="105"/>
      <c r="DV14" s="103"/>
      <c r="DW14" s="104"/>
      <c r="DX14" s="104"/>
      <c r="DY14" s="104"/>
      <c r="DZ14" s="207" t="s">
        <v>36</v>
      </c>
      <c r="EA14" s="207"/>
      <c r="EB14" s="207"/>
      <c r="EC14" s="207"/>
      <c r="ED14" s="104"/>
      <c r="EE14" s="104"/>
      <c r="EF14" s="208" t="s">
        <v>24</v>
      </c>
      <c r="EG14" s="208"/>
      <c r="EH14" s="208"/>
      <c r="EI14" s="208"/>
      <c r="EJ14" s="129"/>
      <c r="EK14" s="129"/>
      <c r="EL14" s="207" t="s">
        <v>37</v>
      </c>
      <c r="EM14" s="207"/>
      <c r="EN14" s="207"/>
      <c r="EO14" s="207"/>
      <c r="EP14" s="104"/>
      <c r="EQ14" s="104"/>
      <c r="ER14" s="208" t="s">
        <v>25</v>
      </c>
      <c r="ES14" s="208"/>
      <c r="ET14" s="208"/>
      <c r="EU14" s="208"/>
      <c r="EV14" s="129"/>
      <c r="EW14" s="129"/>
      <c r="EX14" s="207" t="s">
        <v>38</v>
      </c>
      <c r="EY14" s="207"/>
      <c r="EZ14" s="207"/>
      <c r="FA14" s="207"/>
      <c r="FB14" s="104"/>
      <c r="FC14" s="104"/>
      <c r="FD14" s="208" t="s">
        <v>26</v>
      </c>
      <c r="FE14" s="208"/>
      <c r="FF14" s="208"/>
      <c r="FG14" s="208"/>
      <c r="FH14" s="129"/>
      <c r="FI14" s="129"/>
      <c r="FJ14" s="207" t="s">
        <v>39</v>
      </c>
      <c r="FK14" s="207"/>
      <c r="FL14" s="207"/>
      <c r="FM14" s="207"/>
      <c r="FN14" s="104"/>
      <c r="FO14" s="104"/>
      <c r="FP14" s="208" t="s">
        <v>27</v>
      </c>
      <c r="FQ14" s="208"/>
      <c r="FR14" s="208"/>
      <c r="FS14" s="208"/>
      <c r="FT14" s="129"/>
      <c r="FU14" s="129"/>
      <c r="FV14" s="207" t="s">
        <v>40</v>
      </c>
      <c r="FW14" s="207"/>
      <c r="FX14" s="207"/>
      <c r="FY14" s="207"/>
      <c r="FZ14" s="104"/>
      <c r="GA14" s="104"/>
      <c r="GB14" s="104"/>
      <c r="GC14" s="105"/>
      <c r="GD14" s="103"/>
      <c r="GE14" s="104"/>
      <c r="GF14" s="104"/>
      <c r="GG14" s="104"/>
      <c r="GH14" s="207" t="s">
        <v>36</v>
      </c>
      <c r="GI14" s="207"/>
      <c r="GJ14" s="207"/>
      <c r="GK14" s="207"/>
      <c r="GL14" s="104"/>
      <c r="GM14" s="104"/>
      <c r="GN14" s="208" t="s">
        <v>24</v>
      </c>
      <c r="GO14" s="208"/>
      <c r="GP14" s="208"/>
      <c r="GQ14" s="208"/>
      <c r="GR14" s="129"/>
      <c r="GS14" s="129"/>
      <c r="GT14" s="207" t="s">
        <v>37</v>
      </c>
      <c r="GU14" s="207"/>
      <c r="GV14" s="207"/>
      <c r="GW14" s="207"/>
      <c r="GX14" s="104"/>
      <c r="GY14" s="104"/>
      <c r="GZ14" s="208" t="s">
        <v>25</v>
      </c>
      <c r="HA14" s="208"/>
      <c r="HB14" s="208"/>
      <c r="HC14" s="208"/>
      <c r="HD14" s="129"/>
      <c r="HE14" s="129"/>
      <c r="HF14" s="207" t="s">
        <v>38</v>
      </c>
      <c r="HG14" s="207"/>
      <c r="HH14" s="207"/>
      <c r="HI14" s="207"/>
      <c r="HJ14" s="104"/>
      <c r="HK14" s="104"/>
      <c r="HL14" s="208" t="s">
        <v>26</v>
      </c>
      <c r="HM14" s="208"/>
      <c r="HN14" s="208"/>
      <c r="HO14" s="208"/>
      <c r="HP14" s="129"/>
      <c r="HQ14" s="129"/>
      <c r="HR14" s="207" t="s">
        <v>39</v>
      </c>
      <c r="HS14" s="207"/>
      <c r="HT14" s="207"/>
      <c r="HU14" s="207"/>
      <c r="HV14" s="104"/>
      <c r="HW14" s="104"/>
      <c r="HX14" s="208" t="s">
        <v>27</v>
      </c>
      <c r="HY14" s="208"/>
      <c r="HZ14" s="208"/>
      <c r="IA14" s="208"/>
      <c r="IB14" s="129"/>
      <c r="IC14" s="129"/>
      <c r="ID14" s="207" t="s">
        <v>40</v>
      </c>
      <c r="IE14" s="207"/>
      <c r="IF14" s="207"/>
      <c r="IG14" s="207"/>
      <c r="IH14" s="104"/>
      <c r="II14" s="104"/>
      <c r="IJ14" s="104"/>
      <c r="IK14" s="105"/>
      <c r="IL14" s="103"/>
      <c r="IM14" s="104"/>
      <c r="IN14" s="104"/>
      <c r="IO14" s="104"/>
      <c r="IP14" s="207" t="s">
        <v>36</v>
      </c>
      <c r="IQ14" s="207"/>
      <c r="IR14" s="207"/>
      <c r="IS14" s="207"/>
      <c r="IT14" s="104"/>
      <c r="IU14" s="104"/>
      <c r="IV14" s="208" t="s">
        <v>24</v>
      </c>
      <c r="IW14" s="208"/>
      <c r="IX14" s="208"/>
      <c r="IY14" s="208"/>
      <c r="IZ14" s="129"/>
      <c r="JA14" s="129"/>
      <c r="JB14" s="207" t="s">
        <v>37</v>
      </c>
      <c r="JC14" s="207"/>
      <c r="JD14" s="207"/>
      <c r="JE14" s="207"/>
      <c r="JF14" s="104"/>
      <c r="JG14" s="104"/>
      <c r="JH14" s="208" t="s">
        <v>25</v>
      </c>
      <c r="JI14" s="208"/>
      <c r="JJ14" s="208"/>
      <c r="JK14" s="208"/>
      <c r="JL14" s="129"/>
      <c r="JM14" s="129"/>
      <c r="JN14" s="207" t="s">
        <v>38</v>
      </c>
      <c r="JO14" s="207"/>
      <c r="JP14" s="207"/>
      <c r="JQ14" s="207"/>
      <c r="JR14" s="104"/>
      <c r="JS14" s="104"/>
      <c r="JT14" s="208" t="s">
        <v>26</v>
      </c>
      <c r="JU14" s="208"/>
      <c r="JV14" s="208"/>
      <c r="JW14" s="208"/>
      <c r="JX14" s="129"/>
      <c r="JY14" s="129"/>
      <c r="JZ14" s="207" t="s">
        <v>39</v>
      </c>
      <c r="KA14" s="207"/>
      <c r="KB14" s="207"/>
      <c r="KC14" s="207"/>
      <c r="KD14" s="104"/>
      <c r="KE14" s="104"/>
      <c r="KF14" s="208" t="s">
        <v>27</v>
      </c>
      <c r="KG14" s="208"/>
      <c r="KH14" s="208"/>
      <c r="KI14" s="208"/>
      <c r="KJ14" s="129"/>
      <c r="KK14" s="129"/>
      <c r="KL14" s="207" t="s">
        <v>40</v>
      </c>
      <c r="KM14" s="207"/>
      <c r="KN14" s="207"/>
      <c r="KO14" s="207"/>
      <c r="KP14" s="104"/>
      <c r="KQ14" s="104"/>
      <c r="KR14" s="104"/>
      <c r="KS14" s="105"/>
      <c r="KT14" s="103"/>
      <c r="KU14" s="104"/>
      <c r="KV14" s="104"/>
      <c r="KW14" s="104"/>
      <c r="KX14" s="207" t="s">
        <v>36</v>
      </c>
      <c r="KY14" s="207"/>
      <c r="KZ14" s="207"/>
      <c r="LA14" s="207"/>
      <c r="LB14" s="104"/>
      <c r="LC14" s="104"/>
      <c r="LD14" s="208" t="s">
        <v>24</v>
      </c>
      <c r="LE14" s="208"/>
      <c r="LF14" s="208"/>
      <c r="LG14" s="208"/>
      <c r="LH14" s="129"/>
      <c r="LI14" s="129"/>
      <c r="LJ14" s="207" t="s">
        <v>37</v>
      </c>
      <c r="LK14" s="207"/>
      <c r="LL14" s="207"/>
      <c r="LM14" s="207"/>
      <c r="LN14" s="104"/>
      <c r="LO14" s="104"/>
      <c r="LP14" s="208" t="s">
        <v>25</v>
      </c>
      <c r="LQ14" s="208"/>
      <c r="LR14" s="208"/>
      <c r="LS14" s="208"/>
      <c r="LT14" s="129"/>
      <c r="LU14" s="129"/>
      <c r="LV14" s="207" t="s">
        <v>38</v>
      </c>
      <c r="LW14" s="207"/>
      <c r="LX14" s="207"/>
      <c r="LY14" s="207"/>
      <c r="LZ14" s="104"/>
      <c r="MA14" s="104"/>
      <c r="MB14" s="208" t="s">
        <v>26</v>
      </c>
      <c r="MC14" s="208"/>
      <c r="MD14" s="208"/>
      <c r="ME14" s="208"/>
      <c r="MF14" s="129"/>
      <c r="MG14" s="129"/>
      <c r="MH14" s="207" t="s">
        <v>39</v>
      </c>
      <c r="MI14" s="207"/>
      <c r="MJ14" s="207"/>
      <c r="MK14" s="207"/>
      <c r="ML14" s="104"/>
      <c r="MM14" s="104"/>
      <c r="MN14" s="208" t="s">
        <v>27</v>
      </c>
      <c r="MO14" s="208"/>
      <c r="MP14" s="208"/>
      <c r="MQ14" s="208"/>
      <c r="MR14" s="129"/>
      <c r="MS14" s="129"/>
      <c r="MT14" s="207" t="s">
        <v>40</v>
      </c>
      <c r="MU14" s="207"/>
      <c r="MV14" s="207"/>
      <c r="MW14" s="207"/>
      <c r="MX14" s="104"/>
      <c r="MY14" s="104"/>
      <c r="MZ14" s="104"/>
      <c r="NA14" s="105"/>
      <c r="NB14" s="103"/>
      <c r="NC14" s="104"/>
      <c r="ND14" s="104"/>
      <c r="NE14" s="104"/>
      <c r="NF14" s="207" t="s">
        <v>36</v>
      </c>
      <c r="NG14" s="207"/>
      <c r="NH14" s="207"/>
      <c r="NI14" s="207"/>
      <c r="NJ14" s="104"/>
      <c r="NK14" s="104"/>
      <c r="NL14" s="208" t="s">
        <v>24</v>
      </c>
      <c r="NM14" s="208"/>
      <c r="NN14" s="208"/>
      <c r="NO14" s="208"/>
      <c r="NP14" s="129"/>
      <c r="NQ14" s="129"/>
      <c r="NR14" s="207" t="s">
        <v>37</v>
      </c>
      <c r="NS14" s="207"/>
      <c r="NT14" s="207"/>
      <c r="NU14" s="207"/>
      <c r="NV14" s="104"/>
      <c r="NW14" s="104"/>
      <c r="NX14" s="208" t="s">
        <v>25</v>
      </c>
      <c r="NY14" s="208"/>
      <c r="NZ14" s="208"/>
      <c r="OA14" s="208"/>
      <c r="OB14" s="129"/>
      <c r="OC14" s="129"/>
      <c r="OD14" s="207" t="s">
        <v>38</v>
      </c>
      <c r="OE14" s="207"/>
      <c r="OF14" s="207"/>
      <c r="OG14" s="207"/>
      <c r="OH14" s="104"/>
      <c r="OI14" s="104"/>
      <c r="OJ14" s="208" t="s">
        <v>26</v>
      </c>
      <c r="OK14" s="208"/>
      <c r="OL14" s="208"/>
      <c r="OM14" s="208"/>
      <c r="ON14" s="129"/>
      <c r="OO14" s="129"/>
      <c r="OP14" s="207" t="s">
        <v>39</v>
      </c>
      <c r="OQ14" s="207"/>
      <c r="OR14" s="207"/>
      <c r="OS14" s="207"/>
      <c r="OT14" s="104"/>
      <c r="OU14" s="104"/>
      <c r="OV14" s="208" t="s">
        <v>27</v>
      </c>
      <c r="OW14" s="208"/>
      <c r="OX14" s="208"/>
      <c r="OY14" s="208"/>
      <c r="OZ14" s="129"/>
      <c r="PA14" s="129"/>
      <c r="PB14" s="207" t="s">
        <v>40</v>
      </c>
      <c r="PC14" s="207"/>
      <c r="PD14" s="207"/>
      <c r="PE14" s="207"/>
      <c r="PF14" s="104"/>
      <c r="PG14" s="104"/>
      <c r="PH14" s="104"/>
      <c r="PI14" s="105"/>
      <c r="PJ14" s="103"/>
      <c r="PK14" s="104"/>
      <c r="PL14" s="104"/>
      <c r="PM14" s="104"/>
      <c r="PN14" s="207" t="s">
        <v>36</v>
      </c>
      <c r="PO14" s="207"/>
      <c r="PP14" s="207"/>
      <c r="PQ14" s="207"/>
      <c r="PR14" s="104"/>
      <c r="PS14" s="104"/>
      <c r="PT14" s="208" t="s">
        <v>24</v>
      </c>
      <c r="PU14" s="208"/>
      <c r="PV14" s="208"/>
      <c r="PW14" s="208"/>
      <c r="PX14" s="129"/>
      <c r="PY14" s="129"/>
      <c r="PZ14" s="207" t="s">
        <v>37</v>
      </c>
      <c r="QA14" s="207"/>
      <c r="QB14" s="207"/>
      <c r="QC14" s="207"/>
      <c r="QD14" s="104"/>
      <c r="QE14" s="104"/>
      <c r="QF14" s="208" t="s">
        <v>25</v>
      </c>
      <c r="QG14" s="208"/>
      <c r="QH14" s="208"/>
      <c r="QI14" s="208"/>
      <c r="QJ14" s="129"/>
      <c r="QK14" s="129"/>
      <c r="QL14" s="207" t="s">
        <v>38</v>
      </c>
      <c r="QM14" s="207"/>
      <c r="QN14" s="207"/>
      <c r="QO14" s="207"/>
      <c r="QP14" s="104"/>
      <c r="QQ14" s="104"/>
      <c r="QR14" s="208" t="s">
        <v>26</v>
      </c>
      <c r="QS14" s="208"/>
      <c r="QT14" s="208"/>
      <c r="QU14" s="208"/>
      <c r="QV14" s="129"/>
      <c r="QW14" s="129"/>
      <c r="QX14" s="207" t="s">
        <v>39</v>
      </c>
      <c r="QY14" s="207"/>
      <c r="QZ14" s="207"/>
      <c r="RA14" s="207"/>
      <c r="RB14" s="104"/>
      <c r="RC14" s="104"/>
      <c r="RD14" s="208" t="s">
        <v>27</v>
      </c>
      <c r="RE14" s="208"/>
      <c r="RF14" s="208"/>
      <c r="RG14" s="208"/>
      <c r="RH14" s="129"/>
      <c r="RI14" s="129"/>
      <c r="RJ14" s="207" t="s">
        <v>40</v>
      </c>
      <c r="RK14" s="207"/>
      <c r="RL14" s="207"/>
      <c r="RM14" s="207"/>
      <c r="RN14" s="104"/>
      <c r="RO14" s="104"/>
      <c r="RP14" s="104"/>
      <c r="RQ14" s="105"/>
      <c r="RR14" s="103"/>
      <c r="RS14" s="104"/>
      <c r="RT14" s="104"/>
      <c r="RU14" s="104"/>
      <c r="RV14" s="207" t="s">
        <v>36</v>
      </c>
      <c r="RW14" s="207"/>
      <c r="RX14" s="207"/>
      <c r="RY14" s="207"/>
      <c r="RZ14" s="104"/>
      <c r="SA14" s="104"/>
      <c r="SB14" s="208" t="s">
        <v>24</v>
      </c>
      <c r="SC14" s="208"/>
      <c r="SD14" s="208"/>
      <c r="SE14" s="208"/>
      <c r="SF14" s="129"/>
      <c r="SG14" s="129"/>
      <c r="SH14" s="207" t="s">
        <v>37</v>
      </c>
      <c r="SI14" s="207"/>
      <c r="SJ14" s="207"/>
      <c r="SK14" s="207"/>
      <c r="SL14" s="104"/>
      <c r="SM14" s="104"/>
      <c r="SN14" s="208" t="s">
        <v>25</v>
      </c>
      <c r="SO14" s="208"/>
      <c r="SP14" s="208"/>
      <c r="SQ14" s="208"/>
      <c r="SR14" s="129"/>
      <c r="SS14" s="129"/>
      <c r="ST14" s="207" t="s">
        <v>38</v>
      </c>
      <c r="SU14" s="207"/>
      <c r="SV14" s="207"/>
      <c r="SW14" s="207"/>
      <c r="SX14" s="104"/>
      <c r="SY14" s="104"/>
      <c r="SZ14" s="208" t="s">
        <v>26</v>
      </c>
      <c r="TA14" s="208"/>
      <c r="TB14" s="208"/>
      <c r="TC14" s="208"/>
      <c r="TD14" s="129"/>
      <c r="TE14" s="129"/>
      <c r="TF14" s="207" t="s">
        <v>39</v>
      </c>
      <c r="TG14" s="207"/>
      <c r="TH14" s="207"/>
      <c r="TI14" s="207"/>
      <c r="TJ14" s="104"/>
      <c r="TK14" s="104"/>
      <c r="TL14" s="208" t="s">
        <v>27</v>
      </c>
      <c r="TM14" s="208"/>
      <c r="TN14" s="208"/>
      <c r="TO14" s="208"/>
      <c r="TP14" s="129"/>
      <c r="TQ14" s="129"/>
      <c r="TR14" s="207" t="s">
        <v>40</v>
      </c>
      <c r="TS14" s="207"/>
      <c r="TT14" s="207"/>
      <c r="TU14" s="207"/>
      <c r="TV14" s="104"/>
      <c r="TW14" s="104"/>
      <c r="TX14" s="104"/>
      <c r="TY14" s="105"/>
      <c r="TZ14" s="103"/>
      <c r="UA14" s="104"/>
      <c r="UB14" s="104"/>
      <c r="UC14" s="104"/>
      <c r="UD14" s="207" t="s">
        <v>36</v>
      </c>
      <c r="UE14" s="207"/>
      <c r="UF14" s="207"/>
      <c r="UG14" s="207"/>
      <c r="UH14" s="104"/>
      <c r="UI14" s="104"/>
      <c r="UJ14" s="208" t="s">
        <v>24</v>
      </c>
      <c r="UK14" s="208"/>
      <c r="UL14" s="208"/>
      <c r="UM14" s="208"/>
      <c r="UN14" s="129"/>
      <c r="UO14" s="129"/>
      <c r="UP14" s="207" t="s">
        <v>37</v>
      </c>
      <c r="UQ14" s="207"/>
      <c r="UR14" s="207"/>
      <c r="US14" s="207"/>
      <c r="UT14" s="104"/>
      <c r="UU14" s="104"/>
      <c r="UV14" s="208" t="s">
        <v>25</v>
      </c>
      <c r="UW14" s="208"/>
      <c r="UX14" s="208"/>
      <c r="UY14" s="208"/>
      <c r="UZ14" s="129"/>
      <c r="VA14" s="129"/>
      <c r="VB14" s="207" t="s">
        <v>38</v>
      </c>
      <c r="VC14" s="207"/>
      <c r="VD14" s="207"/>
      <c r="VE14" s="207"/>
      <c r="VF14" s="104"/>
      <c r="VG14" s="104"/>
      <c r="VH14" s="208" t="s">
        <v>26</v>
      </c>
      <c r="VI14" s="208"/>
      <c r="VJ14" s="208"/>
      <c r="VK14" s="208"/>
      <c r="VL14" s="129"/>
      <c r="VM14" s="129"/>
      <c r="VN14" s="207" t="s">
        <v>39</v>
      </c>
      <c r="VO14" s="207"/>
      <c r="VP14" s="207"/>
      <c r="VQ14" s="207"/>
      <c r="VR14" s="104"/>
      <c r="VS14" s="104"/>
      <c r="VT14" s="208" t="s">
        <v>27</v>
      </c>
      <c r="VU14" s="208"/>
      <c r="VV14" s="208"/>
      <c r="VW14" s="208"/>
      <c r="VX14" s="129"/>
      <c r="VY14" s="129"/>
      <c r="VZ14" s="207" t="s">
        <v>40</v>
      </c>
      <c r="WA14" s="207"/>
      <c r="WB14" s="207"/>
      <c r="WC14" s="207"/>
      <c r="WD14" s="104"/>
      <c r="WE14" s="104"/>
      <c r="WF14" s="104"/>
      <c r="WG14" s="105"/>
      <c r="WH14" s="103"/>
      <c r="WI14" s="104"/>
      <c r="WJ14" s="104"/>
      <c r="WK14" s="104"/>
      <c r="WL14" s="207" t="s">
        <v>36</v>
      </c>
      <c r="WM14" s="207"/>
      <c r="WN14" s="207"/>
      <c r="WO14" s="207"/>
      <c r="WP14" s="104"/>
      <c r="WQ14" s="104"/>
      <c r="WR14" s="208" t="s">
        <v>24</v>
      </c>
      <c r="WS14" s="208"/>
      <c r="WT14" s="208"/>
      <c r="WU14" s="208"/>
      <c r="WV14" s="129"/>
      <c r="WW14" s="129"/>
      <c r="WX14" s="207" t="s">
        <v>37</v>
      </c>
      <c r="WY14" s="207"/>
      <c r="WZ14" s="207"/>
      <c r="XA14" s="207"/>
      <c r="XB14" s="104"/>
      <c r="XC14" s="104"/>
      <c r="XD14" s="208" t="s">
        <v>25</v>
      </c>
      <c r="XE14" s="208"/>
      <c r="XF14" s="208"/>
      <c r="XG14" s="208"/>
      <c r="XH14" s="129"/>
      <c r="XI14" s="129"/>
      <c r="XJ14" s="207" t="s">
        <v>38</v>
      </c>
      <c r="XK14" s="207"/>
      <c r="XL14" s="207"/>
      <c r="XM14" s="207"/>
      <c r="XN14" s="104"/>
      <c r="XO14" s="104"/>
      <c r="XP14" s="208" t="s">
        <v>26</v>
      </c>
      <c r="XQ14" s="208"/>
      <c r="XR14" s="208"/>
      <c r="XS14" s="208"/>
      <c r="XT14" s="129"/>
      <c r="XU14" s="129"/>
      <c r="XV14" s="207" t="s">
        <v>39</v>
      </c>
      <c r="XW14" s="207"/>
      <c r="XX14" s="207"/>
      <c r="XY14" s="207"/>
      <c r="XZ14" s="104"/>
      <c r="YA14" s="104"/>
      <c r="YB14" s="208" t="s">
        <v>27</v>
      </c>
      <c r="YC14" s="208"/>
      <c r="YD14" s="208"/>
      <c r="YE14" s="208"/>
      <c r="YF14" s="129"/>
      <c r="YG14" s="129"/>
      <c r="YH14" s="207" t="s">
        <v>40</v>
      </c>
      <c r="YI14" s="207"/>
      <c r="YJ14" s="207"/>
      <c r="YK14" s="207"/>
      <c r="YL14" s="104"/>
      <c r="YM14" s="104"/>
      <c r="YN14" s="104"/>
      <c r="YO14" s="105"/>
      <c r="YP14" s="103"/>
      <c r="YQ14" s="104"/>
      <c r="YR14" s="104"/>
      <c r="YS14" s="104"/>
      <c r="YT14" s="207" t="s">
        <v>36</v>
      </c>
      <c r="YU14" s="207"/>
      <c r="YV14" s="207"/>
      <c r="YW14" s="207"/>
      <c r="YX14" s="104"/>
      <c r="YY14" s="104"/>
      <c r="YZ14" s="208" t="s">
        <v>24</v>
      </c>
      <c r="ZA14" s="208"/>
      <c r="ZB14" s="208"/>
      <c r="ZC14" s="208"/>
      <c r="ZD14" s="129"/>
      <c r="ZE14" s="129"/>
      <c r="ZF14" s="207" t="s">
        <v>37</v>
      </c>
      <c r="ZG14" s="207"/>
      <c r="ZH14" s="207"/>
      <c r="ZI14" s="207"/>
      <c r="ZJ14" s="104"/>
      <c r="ZK14" s="104"/>
      <c r="ZL14" s="208" t="s">
        <v>25</v>
      </c>
      <c r="ZM14" s="208"/>
      <c r="ZN14" s="208"/>
      <c r="ZO14" s="208"/>
      <c r="ZP14" s="129"/>
      <c r="ZQ14" s="129"/>
      <c r="ZR14" s="207" t="s">
        <v>38</v>
      </c>
      <c r="ZS14" s="207"/>
      <c r="ZT14" s="207"/>
      <c r="ZU14" s="207"/>
      <c r="ZV14" s="104"/>
      <c r="ZW14" s="104"/>
      <c r="ZX14" s="208" t="s">
        <v>26</v>
      </c>
      <c r="ZY14" s="208"/>
      <c r="ZZ14" s="208"/>
      <c r="AAA14" s="208"/>
      <c r="AAB14" s="129"/>
      <c r="AAC14" s="129"/>
      <c r="AAD14" s="207" t="s">
        <v>39</v>
      </c>
      <c r="AAE14" s="207"/>
      <c r="AAF14" s="207"/>
      <c r="AAG14" s="207"/>
      <c r="AAH14" s="104"/>
      <c r="AAI14" s="104"/>
      <c r="AAJ14" s="208" t="s">
        <v>27</v>
      </c>
      <c r="AAK14" s="208"/>
      <c r="AAL14" s="208"/>
      <c r="AAM14" s="208"/>
      <c r="AAN14" s="129"/>
      <c r="AAO14" s="129"/>
      <c r="AAP14" s="207" t="s">
        <v>40</v>
      </c>
      <c r="AAQ14" s="207"/>
      <c r="AAR14" s="207"/>
      <c r="AAS14" s="207"/>
      <c r="AAT14" s="104"/>
      <c r="AAU14" s="104"/>
      <c r="AAV14" s="104"/>
      <c r="AAW14" s="105"/>
      <c r="AAX14" s="103"/>
      <c r="AAY14" s="104"/>
      <c r="AAZ14" s="104"/>
      <c r="ABA14" s="104"/>
      <c r="ABB14" s="207" t="s">
        <v>36</v>
      </c>
      <c r="ABC14" s="207"/>
      <c r="ABD14" s="207"/>
      <c r="ABE14" s="207"/>
      <c r="ABF14" s="104"/>
      <c r="ABG14" s="104"/>
      <c r="ABH14" s="208" t="s">
        <v>24</v>
      </c>
      <c r="ABI14" s="208"/>
      <c r="ABJ14" s="208"/>
      <c r="ABK14" s="208"/>
      <c r="ABL14" s="129"/>
      <c r="ABM14" s="129"/>
      <c r="ABN14" s="207" t="s">
        <v>37</v>
      </c>
      <c r="ABO14" s="207"/>
      <c r="ABP14" s="207"/>
      <c r="ABQ14" s="207"/>
      <c r="ABR14" s="104"/>
      <c r="ABS14" s="104"/>
      <c r="ABT14" s="208" t="s">
        <v>25</v>
      </c>
      <c r="ABU14" s="208"/>
      <c r="ABV14" s="208"/>
      <c r="ABW14" s="208"/>
      <c r="ABX14" s="129"/>
      <c r="ABY14" s="129"/>
      <c r="ABZ14" s="207" t="s">
        <v>38</v>
      </c>
      <c r="ACA14" s="207"/>
      <c r="ACB14" s="207"/>
      <c r="ACC14" s="207"/>
      <c r="ACD14" s="104"/>
      <c r="ACE14" s="104"/>
      <c r="ACF14" s="208" t="s">
        <v>26</v>
      </c>
      <c r="ACG14" s="208"/>
      <c r="ACH14" s="208"/>
      <c r="ACI14" s="208"/>
      <c r="ACJ14" s="129"/>
      <c r="ACK14" s="129"/>
      <c r="ACL14" s="207" t="s">
        <v>39</v>
      </c>
      <c r="ACM14" s="207"/>
      <c r="ACN14" s="207"/>
      <c r="ACO14" s="207"/>
      <c r="ACP14" s="104"/>
      <c r="ACQ14" s="104"/>
      <c r="ACR14" s="208" t="s">
        <v>27</v>
      </c>
      <c r="ACS14" s="208"/>
      <c r="ACT14" s="208"/>
      <c r="ACU14" s="208"/>
      <c r="ACV14" s="129"/>
      <c r="ACW14" s="129"/>
      <c r="ACX14" s="207" t="s">
        <v>40</v>
      </c>
      <c r="ACY14" s="207"/>
      <c r="ACZ14" s="207"/>
      <c r="ADA14" s="207"/>
      <c r="ADB14" s="104"/>
      <c r="ADC14" s="104"/>
      <c r="ADD14" s="104"/>
      <c r="ADE14" s="105"/>
      <c r="ADF14" s="103"/>
      <c r="ADG14" s="104"/>
      <c r="ADH14" s="104"/>
      <c r="ADI14" s="104"/>
      <c r="ADJ14" s="207" t="s">
        <v>36</v>
      </c>
      <c r="ADK14" s="207"/>
      <c r="ADL14" s="207"/>
      <c r="ADM14" s="207"/>
      <c r="ADN14" s="104"/>
      <c r="ADO14" s="104"/>
      <c r="ADP14" s="208" t="s">
        <v>24</v>
      </c>
      <c r="ADQ14" s="208"/>
      <c r="ADR14" s="208"/>
      <c r="ADS14" s="208"/>
      <c r="ADT14" s="129"/>
      <c r="ADU14" s="129"/>
      <c r="ADV14" s="207" t="s">
        <v>37</v>
      </c>
      <c r="ADW14" s="207"/>
      <c r="ADX14" s="207"/>
      <c r="ADY14" s="207"/>
      <c r="ADZ14" s="104"/>
      <c r="AEA14" s="104"/>
      <c r="AEB14" s="208" t="s">
        <v>25</v>
      </c>
      <c r="AEC14" s="208"/>
      <c r="AED14" s="208"/>
      <c r="AEE14" s="208"/>
      <c r="AEF14" s="129"/>
      <c r="AEG14" s="129"/>
      <c r="AEH14" s="207" t="s">
        <v>38</v>
      </c>
      <c r="AEI14" s="207"/>
      <c r="AEJ14" s="207"/>
      <c r="AEK14" s="207"/>
      <c r="AEL14" s="104"/>
      <c r="AEM14" s="104"/>
      <c r="AEN14" s="208" t="s">
        <v>26</v>
      </c>
      <c r="AEO14" s="208"/>
      <c r="AEP14" s="208"/>
      <c r="AEQ14" s="208"/>
      <c r="AER14" s="129"/>
      <c r="AES14" s="129"/>
      <c r="AET14" s="207" t="s">
        <v>39</v>
      </c>
      <c r="AEU14" s="207"/>
      <c r="AEV14" s="207"/>
      <c r="AEW14" s="207"/>
      <c r="AEX14" s="104"/>
      <c r="AEY14" s="104"/>
      <c r="AEZ14" s="208" t="s">
        <v>27</v>
      </c>
      <c r="AFA14" s="208"/>
      <c r="AFB14" s="208"/>
      <c r="AFC14" s="208"/>
      <c r="AFD14" s="129"/>
      <c r="AFE14" s="129"/>
      <c r="AFF14" s="207" t="s">
        <v>40</v>
      </c>
      <c r="AFG14" s="207"/>
      <c r="AFH14" s="207"/>
      <c r="AFI14" s="207"/>
      <c r="AFJ14" s="104"/>
      <c r="AFK14" s="104"/>
      <c r="AFL14" s="104"/>
      <c r="AFM14" s="105"/>
      <c r="AFN14" s="103"/>
      <c r="AFO14" s="104"/>
      <c r="AFP14" s="104"/>
      <c r="AFQ14" s="104"/>
      <c r="AFR14" s="207" t="s">
        <v>36</v>
      </c>
      <c r="AFS14" s="207"/>
      <c r="AFT14" s="207"/>
      <c r="AFU14" s="207"/>
      <c r="AFV14" s="104"/>
      <c r="AFW14" s="104"/>
      <c r="AFX14" s="208" t="s">
        <v>24</v>
      </c>
      <c r="AFY14" s="208"/>
      <c r="AFZ14" s="208"/>
      <c r="AGA14" s="208"/>
      <c r="AGB14" s="129"/>
      <c r="AGC14" s="129"/>
      <c r="AGD14" s="207" t="s">
        <v>37</v>
      </c>
      <c r="AGE14" s="207"/>
      <c r="AGF14" s="207"/>
      <c r="AGG14" s="207"/>
      <c r="AGH14" s="104"/>
      <c r="AGI14" s="104"/>
      <c r="AGJ14" s="208" t="s">
        <v>25</v>
      </c>
      <c r="AGK14" s="208"/>
      <c r="AGL14" s="208"/>
      <c r="AGM14" s="208"/>
      <c r="AGN14" s="129"/>
      <c r="AGO14" s="129"/>
      <c r="AGP14" s="207" t="s">
        <v>38</v>
      </c>
      <c r="AGQ14" s="207"/>
      <c r="AGR14" s="207"/>
      <c r="AGS14" s="207"/>
      <c r="AGT14" s="104"/>
      <c r="AGU14" s="104"/>
      <c r="AGV14" s="208" t="s">
        <v>26</v>
      </c>
      <c r="AGW14" s="208"/>
      <c r="AGX14" s="208"/>
      <c r="AGY14" s="208"/>
      <c r="AGZ14" s="129"/>
      <c r="AHA14" s="129"/>
      <c r="AHB14" s="207" t="s">
        <v>39</v>
      </c>
      <c r="AHC14" s="207"/>
      <c r="AHD14" s="207"/>
      <c r="AHE14" s="207"/>
      <c r="AHF14" s="104"/>
      <c r="AHG14" s="104"/>
      <c r="AHH14" s="208" t="s">
        <v>27</v>
      </c>
      <c r="AHI14" s="208"/>
      <c r="AHJ14" s="208"/>
      <c r="AHK14" s="208"/>
      <c r="AHL14" s="129"/>
      <c r="AHM14" s="129"/>
      <c r="AHN14" s="207" t="s">
        <v>40</v>
      </c>
      <c r="AHO14" s="207"/>
      <c r="AHP14" s="207"/>
      <c r="AHQ14" s="207"/>
      <c r="AHR14" s="104"/>
      <c r="AHS14" s="104"/>
      <c r="AHT14" s="104"/>
      <c r="AHU14" s="105"/>
      <c r="AHV14" s="103"/>
      <c r="AHW14" s="104"/>
      <c r="AHX14" s="104"/>
      <c r="AHY14" s="104"/>
      <c r="AHZ14" s="207" t="s">
        <v>36</v>
      </c>
      <c r="AIA14" s="207"/>
      <c r="AIB14" s="207"/>
      <c r="AIC14" s="207"/>
      <c r="AID14" s="104"/>
      <c r="AIE14" s="104"/>
      <c r="AIF14" s="208" t="s">
        <v>24</v>
      </c>
      <c r="AIG14" s="208"/>
      <c r="AIH14" s="208"/>
      <c r="AII14" s="208"/>
      <c r="AIJ14" s="129"/>
      <c r="AIK14" s="129"/>
      <c r="AIL14" s="207" t="s">
        <v>37</v>
      </c>
      <c r="AIM14" s="207"/>
      <c r="AIN14" s="207"/>
      <c r="AIO14" s="207"/>
      <c r="AIP14" s="104"/>
      <c r="AIQ14" s="104"/>
      <c r="AIR14" s="208" t="s">
        <v>25</v>
      </c>
      <c r="AIS14" s="208"/>
      <c r="AIT14" s="208"/>
      <c r="AIU14" s="208"/>
      <c r="AIV14" s="129"/>
      <c r="AIW14" s="129"/>
      <c r="AIX14" s="207" t="s">
        <v>38</v>
      </c>
      <c r="AIY14" s="207"/>
      <c r="AIZ14" s="207"/>
      <c r="AJA14" s="207"/>
      <c r="AJB14" s="104"/>
      <c r="AJC14" s="104"/>
      <c r="AJD14" s="208" t="s">
        <v>26</v>
      </c>
      <c r="AJE14" s="208"/>
      <c r="AJF14" s="208"/>
      <c r="AJG14" s="208"/>
      <c r="AJH14" s="129"/>
      <c r="AJI14" s="129"/>
      <c r="AJJ14" s="207" t="s">
        <v>39</v>
      </c>
      <c r="AJK14" s="207"/>
      <c r="AJL14" s="207"/>
      <c r="AJM14" s="207"/>
      <c r="AJN14" s="104"/>
      <c r="AJO14" s="104"/>
      <c r="AJP14" s="208" t="s">
        <v>27</v>
      </c>
      <c r="AJQ14" s="208"/>
      <c r="AJR14" s="208"/>
      <c r="AJS14" s="208"/>
      <c r="AJT14" s="129"/>
      <c r="AJU14" s="129"/>
      <c r="AJV14" s="207" t="s">
        <v>40</v>
      </c>
      <c r="AJW14" s="207"/>
      <c r="AJX14" s="207"/>
      <c r="AJY14" s="207"/>
      <c r="AJZ14" s="104"/>
      <c r="AKA14" s="104"/>
      <c r="AKB14" s="104"/>
      <c r="AKC14" s="105"/>
      <c r="AKD14" s="103"/>
      <c r="AKE14" s="104"/>
      <c r="AKF14" s="104"/>
      <c r="AKG14" s="104"/>
      <c r="AKH14" s="207" t="s">
        <v>36</v>
      </c>
      <c r="AKI14" s="207"/>
      <c r="AKJ14" s="207"/>
      <c r="AKK14" s="207"/>
      <c r="AKL14" s="104"/>
      <c r="AKM14" s="104"/>
      <c r="AKN14" s="208" t="s">
        <v>24</v>
      </c>
      <c r="AKO14" s="208"/>
      <c r="AKP14" s="208"/>
      <c r="AKQ14" s="208"/>
      <c r="AKR14" s="129"/>
      <c r="AKS14" s="129"/>
      <c r="AKT14" s="207" t="s">
        <v>37</v>
      </c>
      <c r="AKU14" s="207"/>
      <c r="AKV14" s="207"/>
      <c r="AKW14" s="207"/>
      <c r="AKX14" s="104"/>
      <c r="AKY14" s="104"/>
      <c r="AKZ14" s="208" t="s">
        <v>25</v>
      </c>
      <c r="ALA14" s="208"/>
      <c r="ALB14" s="208"/>
      <c r="ALC14" s="208"/>
      <c r="ALD14" s="129"/>
      <c r="ALE14" s="129"/>
      <c r="ALF14" s="207" t="s">
        <v>38</v>
      </c>
      <c r="ALG14" s="207"/>
      <c r="ALH14" s="207"/>
      <c r="ALI14" s="207"/>
      <c r="ALJ14" s="104"/>
      <c r="ALK14" s="104"/>
      <c r="ALL14" s="208" t="s">
        <v>26</v>
      </c>
      <c r="ALM14" s="208"/>
      <c r="ALN14" s="208"/>
      <c r="ALO14" s="208"/>
      <c r="ALP14" s="129"/>
      <c r="ALQ14" s="129"/>
      <c r="ALR14" s="207" t="s">
        <v>39</v>
      </c>
      <c r="ALS14" s="207"/>
      <c r="ALT14" s="207"/>
      <c r="ALU14" s="207"/>
      <c r="ALV14" s="104"/>
      <c r="ALW14" s="104"/>
      <c r="ALX14" s="208" t="s">
        <v>27</v>
      </c>
      <c r="ALY14" s="208"/>
      <c r="ALZ14" s="208"/>
      <c r="AMA14" s="208"/>
      <c r="AMB14" s="129"/>
      <c r="AMC14" s="129"/>
      <c r="AMD14" s="207" t="s">
        <v>40</v>
      </c>
      <c r="AME14" s="207"/>
      <c r="AMF14" s="207"/>
      <c r="AMG14" s="207"/>
      <c r="AMH14" s="104"/>
      <c r="AMI14" s="104"/>
      <c r="AMJ14" s="104"/>
      <c r="AMK14" s="105"/>
      <c r="AML14" s="103"/>
      <c r="AMM14" s="104"/>
      <c r="AMN14" s="104"/>
      <c r="AMO14" s="104"/>
      <c r="AMP14" s="207" t="s">
        <v>36</v>
      </c>
      <c r="AMQ14" s="207"/>
      <c r="AMR14" s="207"/>
      <c r="AMS14" s="207"/>
      <c r="AMT14" s="104"/>
      <c r="AMU14" s="104"/>
      <c r="AMV14" s="208" t="s">
        <v>24</v>
      </c>
      <c r="AMW14" s="208"/>
      <c r="AMX14" s="208"/>
      <c r="AMY14" s="208"/>
      <c r="AMZ14" s="129"/>
      <c r="ANA14" s="129"/>
      <c r="ANB14" s="207" t="s">
        <v>37</v>
      </c>
      <c r="ANC14" s="207"/>
      <c r="AND14" s="207"/>
      <c r="ANE14" s="207"/>
      <c r="ANF14" s="104"/>
      <c r="ANG14" s="104"/>
      <c r="ANH14" s="208" t="s">
        <v>25</v>
      </c>
      <c r="ANI14" s="208"/>
      <c r="ANJ14" s="208"/>
      <c r="ANK14" s="208"/>
      <c r="ANL14" s="129"/>
      <c r="ANM14" s="129"/>
      <c r="ANN14" s="207" t="s">
        <v>38</v>
      </c>
      <c r="ANO14" s="207"/>
      <c r="ANP14" s="207"/>
      <c r="ANQ14" s="207"/>
      <c r="ANR14" s="104"/>
      <c r="ANS14" s="104"/>
      <c r="ANT14" s="208" t="s">
        <v>26</v>
      </c>
      <c r="ANU14" s="208"/>
      <c r="ANV14" s="208"/>
      <c r="ANW14" s="208"/>
      <c r="ANX14" s="129"/>
      <c r="ANY14" s="129"/>
      <c r="ANZ14" s="207" t="s">
        <v>39</v>
      </c>
      <c r="AOA14" s="207"/>
      <c r="AOB14" s="207"/>
      <c r="AOC14" s="207"/>
      <c r="AOD14" s="104"/>
      <c r="AOE14" s="104"/>
      <c r="AOF14" s="208" t="s">
        <v>27</v>
      </c>
      <c r="AOG14" s="208"/>
      <c r="AOH14" s="208"/>
      <c r="AOI14" s="208"/>
      <c r="AOJ14" s="129"/>
      <c r="AOK14" s="129"/>
      <c r="AOL14" s="207" t="s">
        <v>40</v>
      </c>
      <c r="AOM14" s="207"/>
      <c r="AON14" s="207"/>
      <c r="AOO14" s="207"/>
      <c r="AOP14" s="104"/>
      <c r="AOQ14" s="104"/>
      <c r="AOR14" s="104"/>
      <c r="AOS14" s="105"/>
      <c r="AOT14" s="103"/>
      <c r="AOU14" s="104"/>
      <c r="AOV14" s="104"/>
      <c r="AOW14" s="104"/>
      <c r="AOX14" s="207" t="s">
        <v>36</v>
      </c>
      <c r="AOY14" s="207"/>
      <c r="AOZ14" s="207"/>
      <c r="APA14" s="207"/>
      <c r="APB14" s="104"/>
      <c r="APC14" s="104"/>
      <c r="APD14" s="208" t="s">
        <v>24</v>
      </c>
      <c r="APE14" s="208"/>
      <c r="APF14" s="208"/>
      <c r="APG14" s="208"/>
      <c r="APH14" s="129"/>
      <c r="API14" s="129"/>
      <c r="APJ14" s="207" t="s">
        <v>37</v>
      </c>
      <c r="APK14" s="207"/>
      <c r="APL14" s="207"/>
      <c r="APM14" s="207"/>
      <c r="APN14" s="104"/>
      <c r="APO14" s="104"/>
      <c r="APP14" s="208" t="s">
        <v>25</v>
      </c>
      <c r="APQ14" s="208"/>
      <c r="APR14" s="208"/>
      <c r="APS14" s="208"/>
      <c r="APT14" s="129"/>
      <c r="APU14" s="129"/>
      <c r="APV14" s="207" t="s">
        <v>38</v>
      </c>
      <c r="APW14" s="207"/>
      <c r="APX14" s="207"/>
      <c r="APY14" s="207"/>
      <c r="APZ14" s="104"/>
      <c r="AQA14" s="104"/>
      <c r="AQB14" s="208" t="s">
        <v>26</v>
      </c>
      <c r="AQC14" s="208"/>
      <c r="AQD14" s="208"/>
      <c r="AQE14" s="208"/>
      <c r="AQF14" s="129"/>
      <c r="AQG14" s="129"/>
      <c r="AQH14" s="207" t="s">
        <v>39</v>
      </c>
      <c r="AQI14" s="207"/>
      <c r="AQJ14" s="207"/>
      <c r="AQK14" s="207"/>
      <c r="AQL14" s="104"/>
      <c r="AQM14" s="104"/>
      <c r="AQN14" s="208" t="s">
        <v>27</v>
      </c>
      <c r="AQO14" s="208"/>
      <c r="AQP14" s="208"/>
      <c r="AQQ14" s="208"/>
      <c r="AQR14" s="129"/>
      <c r="AQS14" s="129"/>
      <c r="AQT14" s="207" t="s">
        <v>40</v>
      </c>
      <c r="AQU14" s="207"/>
      <c r="AQV14" s="207"/>
      <c r="AQW14" s="207"/>
      <c r="AQX14" s="104"/>
      <c r="AQY14" s="104"/>
      <c r="AQZ14" s="104"/>
      <c r="ARA14" s="105"/>
      <c r="ARB14" s="90"/>
    </row>
    <row r="15" spans="1:114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18" t="s">
        <v>4</v>
      </c>
      <c r="D15" s="149" t="str">
        <f>setValueToTime(E15)</f>
        <v>4h30min</v>
      </c>
      <c r="E15" s="31">
        <v>54</v>
      </c>
      <c r="F15" s="180"/>
      <c r="G15" s="181"/>
      <c r="H15" s="181"/>
      <c r="I15" s="181"/>
      <c r="J15" s="182"/>
      <c r="K15" s="183"/>
      <c r="L15" s="182"/>
      <c r="M15" s="182"/>
      <c r="N15" s="182"/>
      <c r="O15" s="182"/>
      <c r="P15" s="182"/>
      <c r="Q15" s="184"/>
      <c r="R15" s="182"/>
      <c r="S15" s="182"/>
      <c r="T15" s="182"/>
      <c r="U15" s="182"/>
      <c r="V15" s="182"/>
      <c r="W15" s="185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180"/>
      <c r="AOU15" s="181"/>
      <c r="AOV15" s="181"/>
      <c r="AOW15" s="181"/>
      <c r="AOX15" s="182"/>
      <c r="AOY15" s="183"/>
      <c r="AOZ15" s="182"/>
      <c r="APA15" s="182"/>
      <c r="APB15" s="182"/>
      <c r="APC15" s="182"/>
      <c r="APD15" s="182"/>
      <c r="APE15" s="184"/>
      <c r="APF15" s="182"/>
      <c r="APG15" s="182"/>
      <c r="APH15" s="182"/>
      <c r="API15" s="182"/>
      <c r="APJ15" s="182"/>
      <c r="APK15" s="185"/>
      <c r="APL15" s="182"/>
      <c r="APM15" s="182"/>
      <c r="APN15" s="182"/>
      <c r="APO15" s="182"/>
      <c r="APP15" s="182"/>
      <c r="APQ15" s="184"/>
      <c r="APR15" s="182"/>
      <c r="APS15" s="182"/>
      <c r="APT15" s="182"/>
      <c r="APU15" s="182"/>
      <c r="APV15" s="182"/>
      <c r="APW15" s="185"/>
      <c r="APX15" s="181"/>
      <c r="APY15" s="181"/>
      <c r="APZ15" s="181"/>
      <c r="AQA15" s="181"/>
      <c r="AQB15" s="182"/>
      <c r="AQC15" s="184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90"/>
    </row>
    <row r="16" spans="1:1146" ht="20.100000000000001" customHeight="1" x14ac:dyDescent="0.25">
      <c r="A16" s="100" t="s">
        <v>21</v>
      </c>
      <c r="B16" s="63" t="str">
        <f>IF(LEN(C17)=0,"",C17)</f>
        <v>Analyse - Planification initiale</v>
      </c>
      <c r="C16" s="219"/>
      <c r="D16" s="147" t="str">
        <f t="shared" ref="D16:D79" si="0">setValueToTime(E16)</f>
        <v>4h30min</v>
      </c>
      <c r="E16" s="35">
        <v>54</v>
      </c>
      <c r="F16" s="186"/>
      <c r="G16" s="187"/>
      <c r="H16" s="187"/>
      <c r="I16" s="187"/>
      <c r="J16" s="188"/>
      <c r="K16" s="189"/>
      <c r="L16" s="188"/>
      <c r="M16" s="188"/>
      <c r="N16" s="188"/>
      <c r="O16" s="188"/>
      <c r="P16" s="188"/>
      <c r="Q16" s="190"/>
      <c r="R16" s="188"/>
      <c r="S16" s="188"/>
      <c r="T16" s="188"/>
      <c r="U16" s="188"/>
      <c r="V16" s="188"/>
      <c r="W16" s="191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186"/>
      <c r="AOU16" s="187"/>
      <c r="AOV16" s="187"/>
      <c r="AOW16" s="187"/>
      <c r="AOX16" s="188"/>
      <c r="AOY16" s="189"/>
      <c r="AOZ16" s="188"/>
      <c r="APA16" s="188"/>
      <c r="APB16" s="188"/>
      <c r="APC16" s="188"/>
      <c r="APD16" s="188"/>
      <c r="APE16" s="190"/>
      <c r="APF16" s="188"/>
      <c r="APG16" s="188"/>
      <c r="APH16" s="188"/>
      <c r="API16" s="188"/>
      <c r="APJ16" s="188"/>
      <c r="APK16" s="191"/>
      <c r="APL16" s="188"/>
      <c r="APM16" s="188"/>
      <c r="APN16" s="188"/>
      <c r="APO16" s="188"/>
      <c r="APP16" s="188"/>
      <c r="APQ16" s="190"/>
      <c r="APR16" s="188"/>
      <c r="APS16" s="188"/>
      <c r="APT16" s="188"/>
      <c r="APU16" s="188"/>
      <c r="APV16" s="188"/>
      <c r="APW16" s="191"/>
      <c r="APX16" s="187"/>
      <c r="APY16" s="187"/>
      <c r="APZ16" s="187"/>
      <c r="AQA16" s="187"/>
      <c r="AQB16" s="188"/>
      <c r="AQC16" s="190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90"/>
    </row>
    <row r="17" spans="1:1146" ht="20.100000000000001" customHeight="1" x14ac:dyDescent="0.25">
      <c r="A17" s="100" t="s">
        <v>20</v>
      </c>
      <c r="B17" s="63" t="str">
        <f>IF(LEN(C19)=0,"",C19)</f>
        <v>Réalisation - Interfaces</v>
      </c>
      <c r="C17" s="218" t="s">
        <v>32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90"/>
    </row>
    <row r="18" spans="1:1146" ht="20.100000000000001" customHeight="1" x14ac:dyDescent="0.3">
      <c r="A18" s="100" t="s">
        <v>21</v>
      </c>
      <c r="B18" s="63" t="str">
        <f>IF(LEN(C21)=0,"",C21)</f>
        <v>Réalisation - Calendrier</v>
      </c>
      <c r="C18" s="21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90"/>
    </row>
    <row r="19" spans="1:1146" ht="20.100000000000001" customHeight="1" x14ac:dyDescent="0.25">
      <c r="A19" s="100" t="s">
        <v>20</v>
      </c>
      <c r="B19" s="63" t="str">
        <f>IF(LEN(C23)=0,"",C23)</f>
        <v>Réalisation - Ajout des tâches</v>
      </c>
      <c r="C19" s="218" t="s">
        <v>33</v>
      </c>
      <c r="D19" s="146" t="str">
        <f t="shared" si="0"/>
        <v>8h15min</v>
      </c>
      <c r="E19" s="39">
        <v>99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176"/>
      <c r="Y19" s="176"/>
      <c r="Z19" s="176"/>
      <c r="AA19" s="176"/>
      <c r="AB19" s="176"/>
      <c r="AC19" s="178"/>
      <c r="AD19" s="176"/>
      <c r="AE19" s="176"/>
      <c r="AF19" s="176"/>
      <c r="AG19" s="176"/>
      <c r="AH19" s="176"/>
      <c r="AI19" s="179"/>
      <c r="AJ19" s="175"/>
      <c r="AK19" s="175"/>
      <c r="AL19" s="175"/>
      <c r="AM19" s="175"/>
      <c r="AN19" s="176"/>
      <c r="AO19" s="178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174"/>
      <c r="DW19" s="175"/>
      <c r="DX19" s="175"/>
      <c r="DY19" s="175"/>
      <c r="DZ19" s="176"/>
      <c r="EA19" s="177"/>
      <c r="EB19" s="176"/>
      <c r="EC19" s="176"/>
      <c r="ED19" s="176"/>
      <c r="EE19" s="176"/>
      <c r="EF19" s="176"/>
      <c r="EG19" s="178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176"/>
      <c r="GQ19" s="176"/>
      <c r="GR19" s="176"/>
      <c r="GS19" s="176"/>
      <c r="GT19" s="176"/>
      <c r="GU19" s="179"/>
      <c r="GV19" s="176"/>
      <c r="GW19" s="176"/>
      <c r="GX19" s="176"/>
      <c r="GY19" s="176"/>
      <c r="GZ19" s="176"/>
      <c r="HA19" s="178"/>
      <c r="HB19" s="176"/>
      <c r="HC19" s="176"/>
      <c r="HD19" s="176"/>
      <c r="HE19" s="176"/>
      <c r="HF19" s="176"/>
      <c r="HG19" s="179"/>
      <c r="HH19" s="175"/>
      <c r="HI19" s="175"/>
      <c r="HJ19" s="175"/>
      <c r="HK19" s="175"/>
      <c r="HL19" s="176"/>
      <c r="HM19" s="178"/>
      <c r="HN19" s="176"/>
      <c r="HO19" s="176"/>
      <c r="HP19" s="176"/>
      <c r="HQ19" s="176"/>
      <c r="HR19" s="176"/>
      <c r="HS19" s="179"/>
      <c r="HT19" s="176"/>
      <c r="HU19" s="176"/>
      <c r="HV19" s="176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4"/>
      <c r="IM19" s="175"/>
      <c r="IN19" s="175"/>
      <c r="IO19" s="175"/>
      <c r="IP19" s="176"/>
      <c r="IQ19" s="177"/>
      <c r="IR19" s="176"/>
      <c r="IS19" s="176"/>
      <c r="IT19" s="176"/>
      <c r="IU19" s="176"/>
      <c r="IV19" s="176"/>
      <c r="IW19" s="178"/>
      <c r="IX19" s="176"/>
      <c r="IY19" s="176"/>
      <c r="IZ19" s="176"/>
      <c r="JA19" s="176"/>
      <c r="JB19" s="176"/>
      <c r="JC19" s="179"/>
      <c r="JD19" s="176"/>
      <c r="JE19" s="176"/>
      <c r="JF19" s="176"/>
      <c r="JG19" s="176"/>
      <c r="JH19" s="176"/>
      <c r="JI19" s="178"/>
      <c r="JJ19" s="176"/>
      <c r="JK19" s="176"/>
      <c r="JL19" s="176"/>
      <c r="JM19" s="176"/>
      <c r="JN19" s="176"/>
      <c r="JO19" s="179"/>
      <c r="JP19" s="175"/>
      <c r="JQ19" s="175"/>
      <c r="JR19" s="175"/>
      <c r="JS19" s="175"/>
      <c r="JT19" s="176"/>
      <c r="JU19" s="178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90"/>
    </row>
    <row r="20" spans="1:1146" ht="20.100000000000001" customHeight="1" x14ac:dyDescent="0.25">
      <c r="A20" s="100" t="s">
        <v>21</v>
      </c>
      <c r="B20" s="63" t="str">
        <f>IF(LEN(C25)=0,"",C25)</f>
        <v>Réalisation - Ajout des groupes</v>
      </c>
      <c r="C20" s="220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188"/>
      <c r="Y20" s="188"/>
      <c r="Z20" s="188"/>
      <c r="AA20" s="188"/>
      <c r="AB20" s="188"/>
      <c r="AC20" s="190"/>
      <c r="AD20" s="188"/>
      <c r="AE20" s="188"/>
      <c r="AF20" s="188"/>
      <c r="AG20" s="188"/>
      <c r="AH20" s="188"/>
      <c r="AI20" s="194"/>
      <c r="AJ20" s="187"/>
      <c r="AK20" s="187"/>
      <c r="AL20" s="187"/>
      <c r="AM20" s="187"/>
      <c r="AN20" s="188"/>
      <c r="AO20" s="190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86"/>
      <c r="BO20" s="187"/>
      <c r="BP20" s="187"/>
      <c r="BQ20" s="187"/>
      <c r="BR20" s="188"/>
      <c r="BS20" s="189"/>
      <c r="BT20" s="188"/>
      <c r="BU20" s="188"/>
      <c r="BV20" s="188"/>
      <c r="BW20" s="188"/>
      <c r="BX20" s="188"/>
      <c r="BY20" s="190"/>
      <c r="BZ20" s="188"/>
      <c r="CA20" s="188"/>
      <c r="CB20" s="188"/>
      <c r="CC20" s="188"/>
      <c r="CD20" s="188"/>
      <c r="CE20" s="194"/>
      <c r="CF20" s="188"/>
      <c r="CG20" s="188"/>
      <c r="CH20" s="188"/>
      <c r="CI20" s="188"/>
      <c r="CJ20" s="188"/>
      <c r="CK20" s="190"/>
      <c r="CL20" s="188"/>
      <c r="CM20" s="188"/>
      <c r="CN20" s="188"/>
      <c r="CO20" s="188"/>
      <c r="CP20" s="188"/>
      <c r="CQ20" s="194"/>
      <c r="CR20" s="187"/>
      <c r="CS20" s="187"/>
      <c r="CT20" s="187"/>
      <c r="CU20" s="187"/>
      <c r="CV20" s="188"/>
      <c r="CW20" s="190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188"/>
      <c r="GW20" s="188"/>
      <c r="GX20" s="188"/>
      <c r="GY20" s="188"/>
      <c r="GZ20" s="188"/>
      <c r="HA20" s="190"/>
      <c r="HB20" s="188"/>
      <c r="HC20" s="188"/>
      <c r="HD20" s="188"/>
      <c r="HE20" s="188"/>
      <c r="HF20" s="188"/>
      <c r="HG20" s="194"/>
      <c r="HH20" s="187"/>
      <c r="HI20" s="187"/>
      <c r="HJ20" s="187"/>
      <c r="HK20" s="187"/>
      <c r="HL20" s="188"/>
      <c r="HM20" s="190"/>
      <c r="HN20" s="188"/>
      <c r="HO20" s="188"/>
      <c r="HP20" s="188"/>
      <c r="HQ20" s="188"/>
      <c r="HR20" s="192"/>
      <c r="HS20" s="194"/>
      <c r="HT20" s="188"/>
      <c r="HU20" s="188"/>
      <c r="HV20" s="188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186"/>
      <c r="IM20" s="187"/>
      <c r="IN20" s="187"/>
      <c r="IO20" s="187"/>
      <c r="IP20" s="188"/>
      <c r="IQ20" s="189"/>
      <c r="IR20" s="188"/>
      <c r="IS20" s="188"/>
      <c r="IT20" s="188"/>
      <c r="IU20" s="188"/>
      <c r="IV20" s="188"/>
      <c r="IW20" s="190"/>
      <c r="IX20" s="188"/>
      <c r="IY20" s="188"/>
      <c r="IZ20" s="188"/>
      <c r="JA20" s="188"/>
      <c r="JB20" s="188"/>
      <c r="JC20" s="194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90"/>
    </row>
    <row r="21" spans="1:1146" ht="20.100000000000001" customHeight="1" x14ac:dyDescent="0.25">
      <c r="A21" s="100" t="s">
        <v>20</v>
      </c>
      <c r="B21" s="63" t="str">
        <f>IF(LEN(C27)=0,"",C27)</f>
        <v>Réalisation - Suppression des tâches</v>
      </c>
      <c r="C21" s="218" t="s">
        <v>46</v>
      </c>
      <c r="D21" s="146" t="str">
        <f t="shared" si="0"/>
        <v>3h15min</v>
      </c>
      <c r="E21" s="31">
        <v>39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8"/>
      <c r="BO21" s="169"/>
      <c r="BP21" s="169"/>
      <c r="BQ21" s="169"/>
      <c r="BR21" s="170"/>
      <c r="BS21" s="171"/>
      <c r="BT21" s="170"/>
      <c r="BU21" s="170"/>
      <c r="BV21" s="170"/>
      <c r="BW21" s="170"/>
      <c r="BX21" s="170"/>
      <c r="BY21" s="172"/>
      <c r="BZ21" s="170"/>
      <c r="CA21" s="170"/>
      <c r="CB21" s="170"/>
      <c r="CC21" s="170"/>
      <c r="CD21" s="170"/>
      <c r="CE21" s="173"/>
      <c r="CF21" s="170"/>
      <c r="CG21" s="170"/>
      <c r="CH21" s="170"/>
      <c r="CI21" s="170"/>
      <c r="CJ21" s="170"/>
      <c r="CK21" s="172"/>
      <c r="CL21" s="170"/>
      <c r="CM21" s="170"/>
      <c r="CN21" s="170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8"/>
      <c r="GE21" s="169"/>
      <c r="GF21" s="169"/>
      <c r="GG21" s="169"/>
      <c r="GH21" s="170"/>
      <c r="GI21" s="171"/>
      <c r="GJ21" s="170"/>
      <c r="GK21" s="170"/>
      <c r="GL21" s="170"/>
      <c r="GM21" s="170"/>
      <c r="GN21" s="170"/>
      <c r="GO21" s="172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90"/>
    </row>
    <row r="22" spans="1:1146" ht="20.100000000000001" customHeight="1" x14ac:dyDescent="0.25">
      <c r="A22" s="100" t="s">
        <v>21</v>
      </c>
      <c r="B22" s="63" t="str">
        <f>IF(LEN(C29)=0,"",C29)</f>
        <v>Réalisation - Suppression des groupes</v>
      </c>
      <c r="C22" s="220"/>
      <c r="D22" s="147" t="str">
        <f t="shared" si="0"/>
        <v>1h30min</v>
      </c>
      <c r="E22" s="35">
        <v>18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96"/>
      <c r="GE22" s="195"/>
      <c r="GF22" s="195"/>
      <c r="GG22" s="195"/>
      <c r="GH22" s="192"/>
      <c r="GI22" s="197"/>
      <c r="GJ22" s="192"/>
      <c r="GK22" s="192"/>
      <c r="GL22" s="192"/>
      <c r="GM22" s="192"/>
      <c r="GN22" s="192"/>
      <c r="GO22" s="193"/>
      <c r="GP22" s="192"/>
      <c r="GQ22" s="192"/>
      <c r="GR22" s="192"/>
      <c r="GS22" s="192"/>
      <c r="GT22" s="192"/>
      <c r="GU22" s="194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90"/>
    </row>
    <row r="23" spans="1:1146" ht="20.100000000000001" customHeight="1" x14ac:dyDescent="0.25">
      <c r="A23" s="100" t="s">
        <v>20</v>
      </c>
      <c r="B23" s="63" t="str">
        <f>IF(LEN(C31)=0,"",C31)</f>
        <v>Doc - Journal de travail</v>
      </c>
      <c r="C23" s="218" t="s">
        <v>47</v>
      </c>
      <c r="D23" s="146" t="str">
        <f t="shared" si="0"/>
        <v>3h</v>
      </c>
      <c r="E23" s="39">
        <v>36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74"/>
      <c r="KU23" s="175"/>
      <c r="KV23" s="175"/>
      <c r="KW23" s="175"/>
      <c r="KX23" s="176"/>
      <c r="KY23" s="177"/>
      <c r="KZ23" s="176"/>
      <c r="LA23" s="176"/>
      <c r="LB23" s="176"/>
      <c r="LC23" s="176"/>
      <c r="LD23" s="176"/>
      <c r="LE23" s="178"/>
      <c r="LF23" s="176"/>
      <c r="LG23" s="176"/>
      <c r="LH23" s="176"/>
      <c r="LI23" s="176"/>
      <c r="LJ23" s="176"/>
      <c r="LK23" s="179"/>
      <c r="LL23" s="176"/>
      <c r="LM23" s="176"/>
      <c r="LN23" s="176"/>
      <c r="LO23" s="176"/>
      <c r="LP23" s="176"/>
      <c r="LQ23" s="178"/>
      <c r="LR23" s="176"/>
      <c r="LS23" s="176"/>
      <c r="LT23" s="176"/>
      <c r="LU23" s="176"/>
      <c r="LV23" s="176"/>
      <c r="LW23" s="179"/>
      <c r="LX23" s="175"/>
      <c r="LY23" s="175"/>
      <c r="LZ23" s="175"/>
      <c r="MA23" s="175"/>
      <c r="MB23" s="176"/>
      <c r="MC23" s="178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90"/>
    </row>
    <row r="24" spans="1:1146" ht="20.100000000000001" customHeight="1" x14ac:dyDescent="0.25">
      <c r="A24" s="100" t="s">
        <v>21</v>
      </c>
      <c r="B24" s="63" t="str">
        <f>IF(LEN(C33)=0,"",C33)</f>
        <v>Doc - Rapport</v>
      </c>
      <c r="C24" s="220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186"/>
      <c r="KU24" s="187"/>
      <c r="KV24" s="187"/>
      <c r="KW24" s="187"/>
      <c r="KX24" s="188"/>
      <c r="KY24" s="189"/>
      <c r="KZ24" s="188"/>
      <c r="LA24" s="188"/>
      <c r="LB24" s="188"/>
      <c r="LC24" s="188"/>
      <c r="LD24" s="188"/>
      <c r="LE24" s="190"/>
      <c r="LF24" s="188"/>
      <c r="LG24" s="188"/>
      <c r="LH24" s="188"/>
      <c r="LI24" s="188"/>
      <c r="LJ24" s="188"/>
      <c r="LK24" s="191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90"/>
    </row>
    <row r="25" spans="1:1146" ht="20.100000000000001" customHeight="1" x14ac:dyDescent="0.25">
      <c r="A25" s="100" t="s">
        <v>20</v>
      </c>
      <c r="B25" s="63" t="str">
        <f>IF(LEN(C35)=0,"",C35)</f>
        <v>Recherche - Spécifications techniques</v>
      </c>
      <c r="C25" s="218" t="s">
        <v>48</v>
      </c>
      <c r="D25" s="146" t="str">
        <f t="shared" si="0"/>
        <v>3h</v>
      </c>
      <c r="E25" s="31">
        <v>36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68"/>
      <c r="NC25" s="169"/>
      <c r="ND25" s="169"/>
      <c r="NE25" s="169"/>
      <c r="NF25" s="170"/>
      <c r="NG25" s="171"/>
      <c r="NH25" s="170"/>
      <c r="NI25" s="170"/>
      <c r="NJ25" s="170"/>
      <c r="NK25" s="170"/>
      <c r="NL25" s="170"/>
      <c r="NM25" s="172"/>
      <c r="NN25" s="170"/>
      <c r="NO25" s="170"/>
      <c r="NP25" s="170"/>
      <c r="NQ25" s="170"/>
      <c r="NR25" s="170"/>
      <c r="NS25" s="173"/>
      <c r="NT25" s="170"/>
      <c r="NU25" s="170"/>
      <c r="NV25" s="170"/>
      <c r="NW25" s="170"/>
      <c r="NX25" s="170"/>
      <c r="NY25" s="172"/>
      <c r="NZ25" s="170"/>
      <c r="OA25" s="170"/>
      <c r="OB25" s="170"/>
      <c r="OC25" s="170"/>
      <c r="OD25" s="170"/>
      <c r="OE25" s="173"/>
      <c r="OF25" s="169"/>
      <c r="OG25" s="169"/>
      <c r="OH25" s="169"/>
      <c r="OI25" s="169"/>
      <c r="OJ25" s="170"/>
      <c r="OK25" s="172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90"/>
    </row>
    <row r="26" spans="1:1146" ht="20.100000000000001" customHeight="1" x14ac:dyDescent="0.3">
      <c r="A26" s="100" t="s">
        <v>21</v>
      </c>
      <c r="B26" s="63" t="str">
        <f>IF(LEN(C37)=0,"",C37)</f>
        <v>Réalisation - Setup d'installation</v>
      </c>
      <c r="C26" s="219"/>
      <c r="D26" s="148" t="str">
        <f t="shared" si="0"/>
        <v>4h</v>
      </c>
      <c r="E26" s="35">
        <v>48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192"/>
      <c r="LM26" s="192"/>
      <c r="LN26" s="192"/>
      <c r="LO26" s="192"/>
      <c r="LP26" s="192"/>
      <c r="LQ26" s="193"/>
      <c r="LR26" s="192"/>
      <c r="LS26" s="192"/>
      <c r="LT26" s="192"/>
      <c r="LU26" s="192"/>
      <c r="LV26" s="192"/>
      <c r="LW26" s="194"/>
      <c r="LX26" s="195"/>
      <c r="LY26" s="195"/>
      <c r="LZ26" s="195"/>
      <c r="MA26" s="195"/>
      <c r="MB26" s="192"/>
      <c r="MC26" s="193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196"/>
      <c r="PK26" s="195"/>
      <c r="PL26" s="195"/>
      <c r="PM26" s="195"/>
      <c r="PN26" s="192"/>
      <c r="PO26" s="197"/>
      <c r="PP26" s="192"/>
      <c r="PQ26" s="192"/>
      <c r="PR26" s="192"/>
      <c r="PS26" s="192"/>
      <c r="PT26" s="192"/>
      <c r="PU26" s="193"/>
      <c r="PV26" s="192"/>
      <c r="PW26" s="192"/>
      <c r="PX26" s="192"/>
      <c r="PY26" s="192"/>
      <c r="PZ26" s="192"/>
      <c r="QA26" s="194"/>
      <c r="QB26" s="192"/>
      <c r="QC26" s="192"/>
      <c r="QD26" s="192"/>
      <c r="QE26" s="192"/>
      <c r="QF26" s="192"/>
      <c r="QG26" s="193"/>
      <c r="QH26" s="192"/>
      <c r="QI26" s="192"/>
      <c r="QJ26" s="192"/>
      <c r="QK26" s="192"/>
      <c r="QL26" s="192"/>
      <c r="QM26" s="194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90"/>
    </row>
    <row r="27" spans="1:1146" ht="20.100000000000001" customHeight="1" x14ac:dyDescent="0.25">
      <c r="A27" s="100" t="s">
        <v>20</v>
      </c>
      <c r="B27" s="63" t="str">
        <f>IF(LEN(C39)=0,"",C39)</f>
        <v xml:space="preserve">Réalisation - Application </v>
      </c>
      <c r="C27" s="218" t="s">
        <v>49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90"/>
    </row>
    <row r="28" spans="1:1146" ht="20.100000000000001" customHeight="1" x14ac:dyDescent="0.3">
      <c r="A28" s="100" t="s">
        <v>21</v>
      </c>
      <c r="B28" s="63" t="str">
        <f>IF(LEN(C41)=0,"",C41)</f>
        <v>Réalisation - Modification d'une tâche</v>
      </c>
      <c r="C28" s="219"/>
      <c r="D28" s="148" t="str">
        <f t="shared" si="0"/>
        <v>3h</v>
      </c>
      <c r="E28" s="27">
        <v>36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186"/>
      <c r="NC28" s="187"/>
      <c r="ND28" s="187"/>
      <c r="NE28" s="187"/>
      <c r="NF28" s="188"/>
      <c r="NG28" s="189"/>
      <c r="NH28" s="188"/>
      <c r="NI28" s="188"/>
      <c r="NJ28" s="188"/>
      <c r="NK28" s="188"/>
      <c r="NL28" s="188"/>
      <c r="NM28" s="190"/>
      <c r="NN28" s="188"/>
      <c r="NO28" s="188"/>
      <c r="NP28" s="188"/>
      <c r="NQ28" s="188"/>
      <c r="NR28" s="188"/>
      <c r="NS28" s="191"/>
      <c r="NT28" s="188"/>
      <c r="NU28" s="188"/>
      <c r="NV28" s="188"/>
      <c r="NW28" s="188"/>
      <c r="NX28" s="188"/>
      <c r="NY28" s="190"/>
      <c r="NZ28" s="188"/>
      <c r="OA28" s="188"/>
      <c r="OB28" s="188"/>
      <c r="OC28" s="188"/>
      <c r="OD28" s="188"/>
      <c r="OE28" s="191"/>
      <c r="OF28" s="187"/>
      <c r="OG28" s="187"/>
      <c r="OH28" s="187"/>
      <c r="OI28" s="187"/>
      <c r="OJ28" s="188"/>
      <c r="OK28" s="190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90"/>
    </row>
    <row r="29" spans="1:1146" ht="20.100000000000001" customHeight="1" x14ac:dyDescent="0.25">
      <c r="A29" s="100" t="s">
        <v>20</v>
      </c>
      <c r="B29" s="63" t="str">
        <f>IF(LEN(C43)=0,"",C43)</f>
        <v>Réalisation - Modification d'un groupe</v>
      </c>
      <c r="C29" s="218" t="s">
        <v>50</v>
      </c>
      <c r="D29" s="146" t="str">
        <f t="shared" si="0"/>
        <v>3h</v>
      </c>
      <c r="E29" s="31">
        <v>36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168"/>
      <c r="PK29" s="169"/>
      <c r="PL29" s="169"/>
      <c r="PM29" s="169"/>
      <c r="PN29" s="170"/>
      <c r="PO29" s="171"/>
      <c r="PP29" s="170"/>
      <c r="PQ29" s="170"/>
      <c r="PR29" s="170"/>
      <c r="PS29" s="170"/>
      <c r="PT29" s="170"/>
      <c r="PU29" s="172"/>
      <c r="PV29" s="170"/>
      <c r="PW29" s="170"/>
      <c r="PX29" s="170"/>
      <c r="PY29" s="170"/>
      <c r="PZ29" s="170"/>
      <c r="QA29" s="173"/>
      <c r="QB29" s="170"/>
      <c r="QC29" s="170"/>
      <c r="QD29" s="170"/>
      <c r="QE29" s="170"/>
      <c r="QF29" s="170"/>
      <c r="QG29" s="172"/>
      <c r="QH29" s="170"/>
      <c r="QI29" s="170"/>
      <c r="QJ29" s="170"/>
      <c r="QK29" s="170"/>
      <c r="QL29" s="170"/>
      <c r="QM29" s="173"/>
      <c r="QN29" s="169"/>
      <c r="QO29" s="169"/>
      <c r="QP29" s="169"/>
      <c r="QQ29" s="169"/>
      <c r="QR29" s="170"/>
      <c r="QS29" s="172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90"/>
    </row>
    <row r="30" spans="1:1146" ht="20.100000000000001" customHeight="1" x14ac:dyDescent="0.3">
      <c r="A30" s="100" t="s">
        <v>21</v>
      </c>
      <c r="B30" s="63" t="str">
        <f>IF(LEN(C45)=0,"",C45)</f>
        <v/>
      </c>
      <c r="C30" s="21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90"/>
    </row>
    <row r="31" spans="1:1146" ht="20.100000000000001" customHeight="1" x14ac:dyDescent="0.25">
      <c r="A31" s="100" t="s">
        <v>20</v>
      </c>
      <c r="B31" s="63" t="str">
        <f>IF(LEN(C47)=0,"",C47)</f>
        <v/>
      </c>
      <c r="C31" s="218" t="s">
        <v>17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90"/>
    </row>
    <row r="32" spans="1:1146" ht="20.100000000000001" customHeight="1" x14ac:dyDescent="0.3">
      <c r="A32" s="100" t="s">
        <v>21</v>
      </c>
      <c r="B32" s="63" t="str">
        <f>IF(LEN(C49)=0,"",C49)</f>
        <v/>
      </c>
      <c r="C32" s="21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90"/>
    </row>
    <row r="33" spans="1:1146" ht="20.100000000000001" customHeight="1" x14ac:dyDescent="0.25">
      <c r="A33" s="100" t="s">
        <v>20</v>
      </c>
      <c r="B33" s="63" t="str">
        <f>IF(LEN(C51)=0,"",C51)</f>
        <v/>
      </c>
      <c r="C33" s="218" t="s">
        <v>16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90"/>
    </row>
    <row r="34" spans="1:1146" ht="20.100000000000001" customHeight="1" x14ac:dyDescent="0.3">
      <c r="A34" s="100" t="s">
        <v>21</v>
      </c>
      <c r="B34" s="63" t="str">
        <f>IF(LEN(C53)=0,"",C53)</f>
        <v/>
      </c>
      <c r="C34" s="21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90"/>
    </row>
    <row r="35" spans="1:1146" ht="20.100000000000001" customHeight="1" x14ac:dyDescent="0.25">
      <c r="A35" s="100" t="s">
        <v>20</v>
      </c>
      <c r="B35" s="63" t="str">
        <f>IF(LEN(C55)=0,"",C55)</f>
        <v/>
      </c>
      <c r="C35" s="218" t="s">
        <v>54</v>
      </c>
      <c r="D35" s="146" t="str">
        <f t="shared" si="0"/>
        <v>2h</v>
      </c>
      <c r="E35" s="39">
        <v>24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176"/>
      <c r="EI35" s="176"/>
      <c r="EJ35" s="176"/>
      <c r="EK35" s="176"/>
      <c r="EL35" s="176"/>
      <c r="EM35" s="179"/>
      <c r="EN35" s="176"/>
      <c r="EO35" s="176"/>
      <c r="EP35" s="176"/>
      <c r="EQ35" s="176"/>
      <c r="ER35" s="176"/>
      <c r="ES35" s="178"/>
      <c r="ET35" s="176"/>
      <c r="EU35" s="176"/>
      <c r="EV35" s="176"/>
      <c r="EW35" s="176"/>
      <c r="EX35" s="176"/>
      <c r="EY35" s="179"/>
      <c r="EZ35" s="175"/>
      <c r="FA35" s="175"/>
      <c r="FB35" s="175"/>
      <c r="FC35" s="175"/>
      <c r="FD35" s="176"/>
      <c r="FE35" s="178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90"/>
    </row>
    <row r="36" spans="1:1146" ht="20.100000000000001" customHeight="1" x14ac:dyDescent="0.25">
      <c r="A36" s="100" t="s">
        <v>21</v>
      </c>
      <c r="B36" s="63" t="str">
        <f>IF(LEN(C57)=0,"",C57)</f>
        <v/>
      </c>
      <c r="C36" s="220"/>
      <c r="D36" s="147" t="str">
        <f t="shared" si="0"/>
        <v>4h30min</v>
      </c>
      <c r="E36" s="27">
        <v>54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8"/>
      <c r="EA36" s="189"/>
      <c r="EB36" s="188"/>
      <c r="EC36" s="188"/>
      <c r="ED36" s="188"/>
      <c r="EE36" s="188"/>
      <c r="EF36" s="188"/>
      <c r="EG36" s="190"/>
      <c r="EH36" s="188"/>
      <c r="EI36" s="188"/>
      <c r="EJ36" s="188"/>
      <c r="EK36" s="188"/>
      <c r="EL36" s="188"/>
      <c r="EM36" s="191"/>
      <c r="EN36" s="188"/>
      <c r="EO36" s="188"/>
      <c r="EP36" s="188"/>
      <c r="EQ36" s="188"/>
      <c r="ER36" s="188"/>
      <c r="ES36" s="190"/>
      <c r="ET36" s="188"/>
      <c r="EU36" s="188"/>
      <c r="EV36" s="188"/>
      <c r="EW36" s="188"/>
      <c r="EX36" s="188"/>
      <c r="EY36" s="191"/>
      <c r="EZ36" s="187"/>
      <c r="FA36" s="187"/>
      <c r="FB36" s="187"/>
      <c r="FC36" s="187"/>
      <c r="FD36" s="188"/>
      <c r="FE36" s="190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188"/>
      <c r="JE36" s="188"/>
      <c r="JF36" s="188"/>
      <c r="JG36" s="188"/>
      <c r="JH36" s="188"/>
      <c r="JI36" s="190"/>
      <c r="JJ36" s="188"/>
      <c r="JK36" s="188"/>
      <c r="JL36" s="188"/>
      <c r="JM36" s="188"/>
      <c r="JN36" s="188"/>
      <c r="JO36" s="191"/>
      <c r="JP36" s="187"/>
      <c r="JQ36" s="187"/>
      <c r="JR36" s="187"/>
      <c r="JS36" s="187"/>
      <c r="JT36" s="188"/>
      <c r="JU36" s="190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90"/>
    </row>
    <row r="37" spans="1:1146" ht="20.100000000000001" customHeight="1" x14ac:dyDescent="0.25">
      <c r="A37" s="100" t="s">
        <v>20</v>
      </c>
      <c r="B37" s="63" t="str">
        <f>IF(LEN(C59)=0,"",C59)</f>
        <v/>
      </c>
      <c r="C37" s="218" t="s">
        <v>86</v>
      </c>
      <c r="D37" s="146" t="str">
        <f t="shared" si="0"/>
        <v>6h45min</v>
      </c>
      <c r="E37" s="31">
        <v>81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68"/>
      <c r="RS37" s="169"/>
      <c r="RT37" s="169"/>
      <c r="RU37" s="169"/>
      <c r="RV37" s="170"/>
      <c r="RW37" s="171"/>
      <c r="RX37" s="170"/>
      <c r="RY37" s="170"/>
      <c r="RZ37" s="170"/>
      <c r="SA37" s="170"/>
      <c r="SB37" s="170"/>
      <c r="SC37" s="172"/>
      <c r="SD37" s="170"/>
      <c r="SE37" s="170"/>
      <c r="SF37" s="170"/>
      <c r="SG37" s="170"/>
      <c r="SH37" s="170"/>
      <c r="SI37" s="173"/>
      <c r="SJ37" s="170"/>
      <c r="SK37" s="170"/>
      <c r="SL37" s="170"/>
      <c r="SM37" s="170"/>
      <c r="SN37" s="170"/>
      <c r="SO37" s="172"/>
      <c r="SP37" s="170"/>
      <c r="SQ37" s="170"/>
      <c r="SR37" s="170"/>
      <c r="SS37" s="170"/>
      <c r="ST37" s="170"/>
      <c r="SU37" s="173"/>
      <c r="SV37" s="169"/>
      <c r="SW37" s="169"/>
      <c r="SX37" s="169"/>
      <c r="SY37" s="169"/>
      <c r="SZ37" s="170"/>
      <c r="TA37" s="172"/>
      <c r="TB37" s="170"/>
      <c r="TC37" s="170"/>
      <c r="TD37" s="170"/>
      <c r="TE37" s="170"/>
      <c r="TF37" s="170"/>
      <c r="TG37" s="173"/>
      <c r="TH37" s="170"/>
      <c r="TI37" s="170"/>
      <c r="TJ37" s="170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168"/>
      <c r="UA37" s="169"/>
      <c r="UB37" s="169"/>
      <c r="UC37" s="169"/>
      <c r="UD37" s="170"/>
      <c r="UE37" s="171"/>
      <c r="UF37" s="170"/>
      <c r="UG37" s="170"/>
      <c r="UH37" s="170"/>
      <c r="UI37" s="170"/>
      <c r="UJ37" s="170"/>
      <c r="UK37" s="172"/>
      <c r="UL37" s="170"/>
      <c r="UM37" s="170"/>
      <c r="UN37" s="170"/>
      <c r="UO37" s="170"/>
      <c r="UP37" s="170"/>
      <c r="UQ37" s="173"/>
      <c r="UR37" s="170"/>
      <c r="US37" s="170"/>
      <c r="UT37" s="170"/>
      <c r="UU37" s="170"/>
      <c r="UV37" s="170"/>
      <c r="UW37" s="172"/>
      <c r="UX37" s="170"/>
      <c r="UY37" s="170"/>
      <c r="UZ37" s="170"/>
      <c r="VA37" s="170"/>
      <c r="VB37" s="170"/>
      <c r="VC37" s="173"/>
      <c r="VD37" s="169"/>
      <c r="VE37" s="169"/>
      <c r="VF37" s="169"/>
      <c r="VG37" s="169"/>
      <c r="VH37" s="170"/>
      <c r="VI37" s="172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90"/>
    </row>
    <row r="38" spans="1:1146" ht="20.100000000000001" customHeight="1" x14ac:dyDescent="0.3">
      <c r="A38" s="100" t="s">
        <v>21</v>
      </c>
      <c r="B38" s="63" t="str">
        <f>IF(LEN(C61)=0,"",C61)</f>
        <v/>
      </c>
      <c r="C38" s="219"/>
      <c r="D38" s="148" t="str">
        <f t="shared" si="0"/>
        <v>5h45min</v>
      </c>
      <c r="E38" s="35">
        <v>69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195"/>
      <c r="QO38" s="195"/>
      <c r="QP38" s="195"/>
      <c r="QQ38" s="195"/>
      <c r="QR38" s="192"/>
      <c r="QS38" s="193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196"/>
      <c r="RS38" s="195"/>
      <c r="RT38" s="195"/>
      <c r="RU38" s="195"/>
      <c r="RV38" s="192"/>
      <c r="RW38" s="197"/>
      <c r="RX38" s="192"/>
      <c r="RY38" s="192"/>
      <c r="RZ38" s="192"/>
      <c r="SA38" s="192"/>
      <c r="SB38" s="192"/>
      <c r="SC38" s="193"/>
      <c r="SD38" s="192"/>
      <c r="SE38" s="192"/>
      <c r="SF38" s="192"/>
      <c r="SG38" s="192"/>
      <c r="SH38" s="192"/>
      <c r="SI38" s="194"/>
      <c r="SJ38" s="192"/>
      <c r="SK38" s="192"/>
      <c r="SL38" s="192"/>
      <c r="SM38" s="192"/>
      <c r="SN38" s="192"/>
      <c r="SO38" s="193"/>
      <c r="SP38" s="192"/>
      <c r="SQ38" s="192"/>
      <c r="SR38" s="192"/>
      <c r="SS38" s="192"/>
      <c r="ST38" s="192"/>
      <c r="SU38" s="194"/>
      <c r="SV38" s="195"/>
      <c r="SW38" s="195"/>
      <c r="SX38" s="195"/>
      <c r="SY38" s="195"/>
      <c r="SZ38" s="192"/>
      <c r="TA38" s="193"/>
      <c r="TB38" s="192"/>
      <c r="TC38" s="192"/>
      <c r="TD38" s="192"/>
      <c r="TE38" s="192"/>
      <c r="TF38" s="192"/>
      <c r="TG38" s="194"/>
      <c r="TH38" s="192"/>
      <c r="TI38" s="192"/>
      <c r="TJ38" s="192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196"/>
      <c r="UA38" s="195"/>
      <c r="UB38" s="195"/>
      <c r="UC38" s="195"/>
      <c r="UD38" s="192"/>
      <c r="UE38" s="197"/>
      <c r="UF38" s="192"/>
      <c r="UG38" s="192"/>
      <c r="UH38" s="192"/>
      <c r="UI38" s="192"/>
      <c r="UJ38" s="192"/>
      <c r="UK38" s="193"/>
      <c r="UL38" s="192"/>
      <c r="UM38" s="192"/>
      <c r="UN38" s="192"/>
      <c r="UO38" s="192"/>
      <c r="UP38" s="192"/>
      <c r="UQ38" s="194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90"/>
    </row>
    <row r="39" spans="1:1146" ht="19.5" customHeight="1" x14ac:dyDescent="0.25">
      <c r="A39" s="100" t="s">
        <v>20</v>
      </c>
      <c r="B39" s="63" t="str">
        <f>IF(LEN(C63)=0,"",C63)</f>
        <v/>
      </c>
      <c r="C39" s="218" t="s">
        <v>93</v>
      </c>
      <c r="D39" s="146" t="str">
        <f t="shared" si="0"/>
        <v>3h</v>
      </c>
      <c r="E39" s="39">
        <v>36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174"/>
      <c r="WI39" s="175"/>
      <c r="WJ39" s="175"/>
      <c r="WK39" s="175"/>
      <c r="WL39" s="176"/>
      <c r="WM39" s="177"/>
      <c r="WN39" s="176"/>
      <c r="WO39" s="176"/>
      <c r="WP39" s="176"/>
      <c r="WQ39" s="176"/>
      <c r="WR39" s="176"/>
      <c r="WS39" s="178"/>
      <c r="WT39" s="176"/>
      <c r="WU39" s="176"/>
      <c r="WV39" s="176"/>
      <c r="WW39" s="176"/>
      <c r="WX39" s="176"/>
      <c r="WY39" s="179"/>
      <c r="WZ39" s="176"/>
      <c r="XA39" s="176"/>
      <c r="XB39" s="176"/>
      <c r="XC39" s="176"/>
      <c r="XD39" s="176"/>
      <c r="XE39" s="178"/>
      <c r="XF39" s="176"/>
      <c r="XG39" s="176"/>
      <c r="XH39" s="176"/>
      <c r="XI39" s="176"/>
      <c r="XJ39" s="176"/>
      <c r="XK39" s="179"/>
      <c r="XL39" s="175"/>
      <c r="XM39" s="175"/>
      <c r="XN39" s="175"/>
      <c r="XO39" s="175"/>
      <c r="XP39" s="176"/>
      <c r="XQ39" s="178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90"/>
    </row>
    <row r="40" spans="1:1146" ht="20.100000000000001" customHeight="1" x14ac:dyDescent="0.25">
      <c r="A40" s="100" t="s">
        <v>21</v>
      </c>
      <c r="B40" s="63" t="str">
        <f>IF(LEN(C65)=0,"",C65)</f>
        <v/>
      </c>
      <c r="C40" s="220"/>
      <c r="D40" s="147" t="str">
        <f t="shared" si="0"/>
        <v>7h30min</v>
      </c>
      <c r="E40" s="27">
        <v>90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188"/>
      <c r="US40" s="188"/>
      <c r="UT40" s="188"/>
      <c r="UU40" s="188"/>
      <c r="UV40" s="188"/>
      <c r="UW40" s="190"/>
      <c r="UX40" s="188"/>
      <c r="UY40" s="188"/>
      <c r="UZ40" s="188"/>
      <c r="VA40" s="188"/>
      <c r="VB40" s="188"/>
      <c r="VC40" s="191"/>
      <c r="VD40" s="187"/>
      <c r="VE40" s="187"/>
      <c r="VF40" s="187"/>
      <c r="VG40" s="187"/>
      <c r="VH40" s="188"/>
      <c r="VI40" s="190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186"/>
      <c r="WI40" s="187"/>
      <c r="WJ40" s="187"/>
      <c r="WK40" s="187"/>
      <c r="WL40" s="188"/>
      <c r="WM40" s="189"/>
      <c r="WN40" s="188"/>
      <c r="WO40" s="188"/>
      <c r="WP40" s="188"/>
      <c r="WQ40" s="188"/>
      <c r="WR40" s="188"/>
      <c r="WS40" s="190"/>
      <c r="WT40" s="188"/>
      <c r="WU40" s="188"/>
      <c r="WV40" s="188"/>
      <c r="WW40" s="188"/>
      <c r="WX40" s="188"/>
      <c r="WY40" s="191"/>
      <c r="WZ40" s="188"/>
      <c r="XA40" s="188"/>
      <c r="XB40" s="188"/>
      <c r="XC40" s="188"/>
      <c r="XD40" s="188"/>
      <c r="XE40" s="190"/>
      <c r="XF40" s="188"/>
      <c r="XG40" s="188"/>
      <c r="XH40" s="188"/>
      <c r="XI40" s="188"/>
      <c r="XJ40" s="188"/>
      <c r="XK40" s="191"/>
      <c r="XL40" s="187"/>
      <c r="XM40" s="187"/>
      <c r="XN40" s="187"/>
      <c r="XO40" s="187"/>
      <c r="XP40" s="188"/>
      <c r="XQ40" s="190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186"/>
      <c r="YQ40" s="187"/>
      <c r="YR40" s="187"/>
      <c r="YS40" s="187"/>
      <c r="YT40" s="188"/>
      <c r="YU40" s="189"/>
      <c r="YV40" s="188"/>
      <c r="YW40" s="188"/>
      <c r="YX40" s="188"/>
      <c r="YY40" s="188"/>
      <c r="YZ40" s="188"/>
      <c r="ZA40" s="190"/>
      <c r="ZB40" s="188"/>
      <c r="ZC40" s="188"/>
      <c r="ZD40" s="188"/>
      <c r="ZE40" s="188"/>
      <c r="ZF40" s="188"/>
      <c r="ZG40" s="191"/>
      <c r="ZH40" s="188"/>
      <c r="ZI40" s="188"/>
      <c r="ZJ40" s="188"/>
      <c r="ZK40" s="188"/>
      <c r="ZL40" s="188"/>
      <c r="ZM40" s="190"/>
      <c r="ZN40" s="188"/>
      <c r="ZO40" s="188"/>
      <c r="ZP40" s="188"/>
      <c r="ZQ40" s="188"/>
      <c r="ZR40" s="188"/>
      <c r="ZS40" s="191"/>
      <c r="ZT40" s="187"/>
      <c r="ZU40" s="187"/>
      <c r="ZV40" s="187"/>
      <c r="ZW40" s="187"/>
      <c r="ZX40" s="188"/>
      <c r="ZY40" s="190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90"/>
    </row>
    <row r="41" spans="1:1146" ht="19.5" customHeight="1" x14ac:dyDescent="0.25">
      <c r="A41" s="100" t="s">
        <v>20</v>
      </c>
      <c r="B41" s="63" t="str">
        <f>IF(LEN(C67)=0,"",C67)</f>
        <v/>
      </c>
      <c r="C41" s="218" t="s">
        <v>100</v>
      </c>
      <c r="D41" s="146" t="str">
        <f t="shared" si="0"/>
        <v>15h45min</v>
      </c>
      <c r="E41" s="31">
        <v>189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168"/>
      <c r="YQ41" s="169"/>
      <c r="YR41" s="169"/>
      <c r="YS41" s="169"/>
      <c r="YT41" s="170"/>
      <c r="YU41" s="171"/>
      <c r="YV41" s="170"/>
      <c r="YW41" s="170"/>
      <c r="YX41" s="170"/>
      <c r="YY41" s="170"/>
      <c r="YZ41" s="170"/>
      <c r="ZA41" s="172"/>
      <c r="ZB41" s="170"/>
      <c r="ZC41" s="170"/>
      <c r="ZD41" s="170"/>
      <c r="ZE41" s="170"/>
      <c r="ZF41" s="170"/>
      <c r="ZG41" s="173"/>
      <c r="ZH41" s="170"/>
      <c r="ZI41" s="170"/>
      <c r="ZJ41" s="170"/>
      <c r="ZK41" s="170"/>
      <c r="ZL41" s="170"/>
      <c r="ZM41" s="172"/>
      <c r="ZN41" s="170"/>
      <c r="ZO41" s="170"/>
      <c r="ZP41" s="170"/>
      <c r="ZQ41" s="170"/>
      <c r="ZR41" s="170"/>
      <c r="ZS41" s="173"/>
      <c r="ZT41" s="169"/>
      <c r="ZU41" s="169"/>
      <c r="ZV41" s="169"/>
      <c r="ZW41" s="169"/>
      <c r="ZX41" s="170"/>
      <c r="ZY41" s="172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168"/>
      <c r="AAY41" s="169"/>
      <c r="AAZ41" s="169"/>
      <c r="ABA41" s="169"/>
      <c r="ABB41" s="170"/>
      <c r="ABC41" s="171"/>
      <c r="ABD41" s="170"/>
      <c r="ABE41" s="170"/>
      <c r="ABF41" s="170"/>
      <c r="ABG41" s="170"/>
      <c r="ABH41" s="170"/>
      <c r="ABI41" s="172"/>
      <c r="ABJ41" s="170"/>
      <c r="ABK41" s="170"/>
      <c r="ABL41" s="170"/>
      <c r="ABM41" s="170"/>
      <c r="ABN41" s="170"/>
      <c r="ABO41" s="173"/>
      <c r="ABP41" s="170"/>
      <c r="ABQ41" s="170"/>
      <c r="ABR41" s="170"/>
      <c r="ABS41" s="170"/>
      <c r="ABT41" s="170"/>
      <c r="ABU41" s="172"/>
      <c r="ABV41" s="170"/>
      <c r="ABW41" s="170"/>
      <c r="ABX41" s="170"/>
      <c r="ABY41" s="170"/>
      <c r="ABZ41" s="170"/>
      <c r="ACA41" s="173"/>
      <c r="ACB41" s="169"/>
      <c r="ACC41" s="169"/>
      <c r="ACD41" s="169"/>
      <c r="ACE41" s="169"/>
      <c r="ACF41" s="170"/>
      <c r="ACG41" s="172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168"/>
      <c r="ADG41" s="169"/>
      <c r="ADH41" s="169"/>
      <c r="ADI41" s="169"/>
      <c r="ADJ41" s="170"/>
      <c r="ADK41" s="171"/>
      <c r="ADL41" s="170"/>
      <c r="ADM41" s="170"/>
      <c r="ADN41" s="170"/>
      <c r="ADO41" s="170"/>
      <c r="ADP41" s="170"/>
      <c r="ADQ41" s="172"/>
      <c r="ADR41" s="170"/>
      <c r="ADS41" s="170"/>
      <c r="ADT41" s="170"/>
      <c r="ADU41" s="170"/>
      <c r="ADV41" s="170"/>
      <c r="ADW41" s="173"/>
      <c r="ADX41" s="170"/>
      <c r="ADY41" s="170"/>
      <c r="ADZ41" s="170"/>
      <c r="AEA41" s="170"/>
      <c r="AEB41" s="170"/>
      <c r="AEC41" s="172"/>
      <c r="AED41" s="170"/>
      <c r="AEE41" s="170"/>
      <c r="AEF41" s="170"/>
      <c r="AEG41" s="170"/>
      <c r="AEH41" s="170"/>
      <c r="AEI41" s="173"/>
      <c r="AEJ41" s="169"/>
      <c r="AEK41" s="169"/>
      <c r="AEL41" s="169"/>
      <c r="AEM41" s="169"/>
      <c r="AEN41" s="170"/>
      <c r="AEO41" s="172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168"/>
      <c r="AFO41" s="169"/>
      <c r="AFP41" s="169"/>
      <c r="AFQ41" s="169"/>
      <c r="AFR41" s="170"/>
      <c r="AFS41" s="171"/>
      <c r="AFT41" s="170"/>
      <c r="AFU41" s="170"/>
      <c r="AFV41" s="170"/>
      <c r="AFW41" s="170"/>
      <c r="AFX41" s="170"/>
      <c r="AFY41" s="172"/>
      <c r="AFZ41" s="170"/>
      <c r="AGA41" s="170"/>
      <c r="AGB41" s="170"/>
      <c r="AGC41" s="170"/>
      <c r="AGD41" s="170"/>
      <c r="AGE41" s="173"/>
      <c r="AGF41" s="170"/>
      <c r="AGG41" s="170"/>
      <c r="AGH41" s="170"/>
      <c r="AGI41" s="170"/>
      <c r="AGJ41" s="170"/>
      <c r="AGK41" s="172"/>
      <c r="AGL41" s="170"/>
      <c r="AGM41" s="170"/>
      <c r="AGN41" s="170"/>
      <c r="AGO41" s="170"/>
      <c r="AGP41" s="170"/>
      <c r="AGQ41" s="173"/>
      <c r="AGR41" s="169"/>
      <c r="AGS41" s="169"/>
      <c r="AGT41" s="169"/>
      <c r="AGU41" s="169"/>
      <c r="AGV41" s="170"/>
      <c r="AGW41" s="172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168"/>
      <c r="AHW41" s="169"/>
      <c r="AHX41" s="169"/>
      <c r="AHY41" s="169"/>
      <c r="AHZ41" s="170"/>
      <c r="AIA41" s="171"/>
      <c r="AIB41" s="170"/>
      <c r="AIC41" s="170"/>
      <c r="AID41" s="170"/>
      <c r="AIE41" s="170"/>
      <c r="AIF41" s="170"/>
      <c r="AIG41" s="172"/>
      <c r="AIH41" s="170"/>
      <c r="AII41" s="170"/>
      <c r="AIJ41" s="170"/>
      <c r="AIK41" s="170"/>
      <c r="AIL41" s="170"/>
      <c r="AIM41" s="173"/>
      <c r="AIN41" s="170"/>
      <c r="AIO41" s="170"/>
      <c r="AIP41" s="170"/>
      <c r="AIQ41" s="170"/>
      <c r="AIR41" s="170"/>
      <c r="AIS41" s="172"/>
      <c r="AIT41" s="170"/>
      <c r="AIU41" s="170"/>
      <c r="AIV41" s="170"/>
      <c r="AIW41" s="170"/>
      <c r="AIX41" s="170"/>
      <c r="AIY41" s="173"/>
      <c r="AIZ41" s="169"/>
      <c r="AJA41" s="169"/>
      <c r="AJB41" s="169"/>
      <c r="AJC41" s="169"/>
      <c r="AJD41" s="170"/>
      <c r="AJE41" s="172"/>
      <c r="AJF41" s="170"/>
      <c r="AJG41" s="170"/>
      <c r="AJH41" s="170"/>
      <c r="AJI41" s="170"/>
      <c r="AJJ41" s="170"/>
      <c r="AJK41" s="173"/>
      <c r="AJL41" s="170"/>
      <c r="AJM41" s="170"/>
      <c r="AJN41" s="170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90"/>
    </row>
    <row r="42" spans="1:1146" ht="19.5" customHeight="1" x14ac:dyDescent="0.3">
      <c r="A42" s="100" t="s">
        <v>21</v>
      </c>
      <c r="B42" s="63" t="str">
        <f>IF(LEN(C69)=0,"",C69)</f>
        <v/>
      </c>
      <c r="C42" s="219"/>
      <c r="D42" s="148" t="str">
        <f t="shared" si="0"/>
        <v>12h45min</v>
      </c>
      <c r="E42" s="35">
        <v>153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196"/>
      <c r="AAY42" s="195"/>
      <c r="AAZ42" s="195"/>
      <c r="ABA42" s="195"/>
      <c r="ABB42" s="192"/>
      <c r="ABC42" s="197"/>
      <c r="ABD42" s="192"/>
      <c r="ABE42" s="192"/>
      <c r="ABF42" s="192"/>
      <c r="ABG42" s="192"/>
      <c r="ABH42" s="192"/>
      <c r="ABI42" s="193"/>
      <c r="ABJ42" s="192"/>
      <c r="ABK42" s="192"/>
      <c r="ABL42" s="192"/>
      <c r="ABM42" s="192"/>
      <c r="ABN42" s="192"/>
      <c r="ABO42" s="194"/>
      <c r="ABP42" s="192"/>
      <c r="ABQ42" s="192"/>
      <c r="ABR42" s="192"/>
      <c r="ABS42" s="192"/>
      <c r="ABT42" s="192"/>
      <c r="ABU42" s="193"/>
      <c r="ABV42" s="192"/>
      <c r="ABW42" s="192"/>
      <c r="ABX42" s="192"/>
      <c r="ABY42" s="192"/>
      <c r="ABZ42" s="192"/>
      <c r="ACA42" s="194"/>
      <c r="ACB42" s="195"/>
      <c r="ACC42" s="195"/>
      <c r="ACD42" s="195"/>
      <c r="ACE42" s="195"/>
      <c r="ACF42" s="192"/>
      <c r="ACG42" s="193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196"/>
      <c r="ADG42" s="195"/>
      <c r="ADH42" s="195"/>
      <c r="ADI42" s="195"/>
      <c r="ADJ42" s="192"/>
      <c r="ADK42" s="197"/>
      <c r="ADL42" s="192"/>
      <c r="ADM42" s="192"/>
      <c r="ADN42" s="192"/>
      <c r="ADO42" s="192"/>
      <c r="ADP42" s="192"/>
      <c r="ADQ42" s="193"/>
      <c r="ADR42" s="192"/>
      <c r="ADS42" s="192"/>
      <c r="ADT42" s="192"/>
      <c r="ADU42" s="192"/>
      <c r="ADV42" s="192"/>
      <c r="ADW42" s="194"/>
      <c r="ADX42" s="192"/>
      <c r="ADY42" s="192"/>
      <c r="ADZ42" s="192"/>
      <c r="AEA42" s="192"/>
      <c r="AEB42" s="192"/>
      <c r="AEC42" s="193"/>
      <c r="AED42" s="192"/>
      <c r="AEE42" s="192"/>
      <c r="AEF42" s="192"/>
      <c r="AEG42" s="192"/>
      <c r="AEH42" s="192"/>
      <c r="AEI42" s="194"/>
      <c r="AEJ42" s="195"/>
      <c r="AEK42" s="195"/>
      <c r="AEL42" s="195"/>
      <c r="AEM42" s="195"/>
      <c r="AEN42" s="192"/>
      <c r="AEO42" s="193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196"/>
      <c r="AFO42" s="195"/>
      <c r="AFP42" s="195"/>
      <c r="AFQ42" s="195"/>
      <c r="AFR42" s="192"/>
      <c r="AFS42" s="197"/>
      <c r="AFT42" s="192"/>
      <c r="AFU42" s="192"/>
      <c r="AFV42" s="192"/>
      <c r="AFW42" s="192"/>
      <c r="AFX42" s="192"/>
      <c r="AFY42" s="193"/>
      <c r="AFZ42" s="192"/>
      <c r="AGA42" s="192"/>
      <c r="AGB42" s="192"/>
      <c r="AGC42" s="192"/>
      <c r="AGD42" s="192"/>
      <c r="AGE42" s="194"/>
      <c r="AGF42" s="192"/>
      <c r="AGG42" s="192"/>
      <c r="AGH42" s="192"/>
      <c r="AGI42" s="192"/>
      <c r="AGJ42" s="192"/>
      <c r="AGK42" s="193"/>
      <c r="AGL42" s="192"/>
      <c r="AGM42" s="192"/>
      <c r="AGN42" s="192"/>
      <c r="AGO42" s="192"/>
      <c r="AGP42" s="192"/>
      <c r="AGQ42" s="194"/>
      <c r="AGR42" s="195"/>
      <c r="AGS42" s="195"/>
      <c r="AGT42" s="195"/>
      <c r="AGU42" s="195"/>
      <c r="AGV42" s="192"/>
      <c r="AGW42" s="193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196"/>
      <c r="AHW42" s="195"/>
      <c r="AHX42" s="195"/>
      <c r="AHY42" s="195"/>
      <c r="AHZ42" s="192"/>
      <c r="AIA42" s="197"/>
      <c r="AIB42" s="192"/>
      <c r="AIC42" s="192"/>
      <c r="AID42" s="192"/>
      <c r="AIE42" s="192"/>
      <c r="AIF42" s="192"/>
      <c r="AIG42" s="193"/>
      <c r="AIH42" s="192"/>
      <c r="AII42" s="192"/>
      <c r="AIJ42" s="192"/>
      <c r="AIK42" s="192"/>
      <c r="AIL42" s="192"/>
      <c r="AIM42" s="194"/>
      <c r="AIN42" s="192"/>
      <c r="AIO42" s="192"/>
      <c r="AIP42" s="192"/>
      <c r="AIQ42" s="192"/>
      <c r="AIR42" s="192"/>
      <c r="AIS42" s="193"/>
      <c r="AIT42" s="192"/>
      <c r="AIU42" s="192"/>
      <c r="AIV42" s="192"/>
      <c r="AIW42" s="192"/>
      <c r="AIX42" s="192"/>
      <c r="AIY42" s="194"/>
      <c r="AIZ42" s="195"/>
      <c r="AJA42" s="195"/>
      <c r="AJB42" s="195"/>
      <c r="AJC42" s="195"/>
      <c r="AJD42" s="192"/>
      <c r="AJE42" s="193"/>
      <c r="AJF42" s="192"/>
      <c r="AJG42" s="192"/>
      <c r="AJH42" s="192"/>
      <c r="AJI42" s="192"/>
      <c r="AJJ42" s="192"/>
      <c r="AJK42" s="194"/>
      <c r="AJL42" s="192"/>
      <c r="AJM42" s="192"/>
      <c r="AJN42" s="192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90"/>
    </row>
    <row r="43" spans="1:1146" ht="20.100000000000001" customHeight="1" x14ac:dyDescent="0.25">
      <c r="A43" s="100" t="s">
        <v>20</v>
      </c>
      <c r="B43" s="63" t="str">
        <f>IF(LEN(C71)=0,"",C71)</f>
        <v/>
      </c>
      <c r="C43" s="218" t="s">
        <v>110</v>
      </c>
      <c r="D43" s="146" t="str">
        <f t="shared" si="0"/>
        <v>6h</v>
      </c>
      <c r="E43" s="31">
        <v>72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68"/>
      <c r="AKE43" s="169"/>
      <c r="AKF43" s="169"/>
      <c r="AKG43" s="169"/>
      <c r="AKH43" s="170"/>
      <c r="AKI43" s="171"/>
      <c r="AKJ43" s="170"/>
      <c r="AKK43" s="170"/>
      <c r="AKL43" s="170"/>
      <c r="AKM43" s="170"/>
      <c r="AKN43" s="170"/>
      <c r="AKO43" s="172"/>
      <c r="AKP43" s="170"/>
      <c r="AKQ43" s="170"/>
      <c r="AKR43" s="170"/>
      <c r="AKS43" s="170"/>
      <c r="AKT43" s="170"/>
      <c r="AKU43" s="173"/>
      <c r="AKV43" s="170"/>
      <c r="AKW43" s="170"/>
      <c r="AKX43" s="170"/>
      <c r="AKY43" s="170"/>
      <c r="AKZ43" s="170"/>
      <c r="ALA43" s="172"/>
      <c r="ALB43" s="170"/>
      <c r="ALC43" s="170"/>
      <c r="ALD43" s="170"/>
      <c r="ALE43" s="170"/>
      <c r="ALF43" s="170"/>
      <c r="ALG43" s="173"/>
      <c r="ALH43" s="169"/>
      <c r="ALI43" s="169"/>
      <c r="ALJ43" s="169"/>
      <c r="ALK43" s="169"/>
      <c r="ALL43" s="170"/>
      <c r="ALM43" s="172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68"/>
      <c r="AMM43" s="169"/>
      <c r="AMN43" s="169"/>
      <c r="AMO43" s="169"/>
      <c r="AMP43" s="170"/>
      <c r="AMQ43" s="171"/>
      <c r="AMR43" s="170"/>
      <c r="AMS43" s="170"/>
      <c r="AMT43" s="170"/>
      <c r="AMU43" s="170"/>
      <c r="AMV43" s="170"/>
      <c r="AMW43" s="172"/>
      <c r="AMX43" s="170"/>
      <c r="AMY43" s="170"/>
      <c r="AMZ43" s="170"/>
      <c r="ANA43" s="170"/>
      <c r="ANB43" s="170"/>
      <c r="ANC43" s="173"/>
      <c r="AND43" s="170"/>
      <c r="ANE43" s="170"/>
      <c r="ANF43" s="170"/>
      <c r="ANG43" s="170"/>
      <c r="ANH43" s="170"/>
      <c r="ANI43" s="172"/>
      <c r="ANJ43" s="170"/>
      <c r="ANK43" s="170"/>
      <c r="ANL43" s="170"/>
      <c r="ANM43" s="170"/>
      <c r="ANN43" s="170"/>
      <c r="ANO43" s="173"/>
      <c r="ANP43" s="169"/>
      <c r="ANQ43" s="169"/>
      <c r="ANR43" s="169"/>
      <c r="ANS43" s="169"/>
      <c r="ANT43" s="170"/>
      <c r="ANU43" s="172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90"/>
    </row>
    <row r="44" spans="1:1146" ht="19.5" customHeight="1" x14ac:dyDescent="0.3">
      <c r="A44" s="100" t="s">
        <v>21</v>
      </c>
      <c r="B44" s="63" t="str">
        <f>IF(LEN(C73)=0,"",C73)</f>
        <v/>
      </c>
      <c r="C44" s="219"/>
      <c r="D44" s="148" t="str">
        <f t="shared" si="0"/>
        <v>6h</v>
      </c>
      <c r="E44" s="35">
        <v>72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196"/>
      <c r="AKE44" s="195"/>
      <c r="AKF44" s="195"/>
      <c r="AKG44" s="195"/>
      <c r="AKH44" s="192"/>
      <c r="AKI44" s="197"/>
      <c r="AKJ44" s="192"/>
      <c r="AKK44" s="192"/>
      <c r="AKL44" s="192"/>
      <c r="AKM44" s="192"/>
      <c r="AKN44" s="192"/>
      <c r="AKO44" s="193"/>
      <c r="AKP44" s="192"/>
      <c r="AKQ44" s="192"/>
      <c r="AKR44" s="192"/>
      <c r="AKS44" s="192"/>
      <c r="AKT44" s="192"/>
      <c r="AKU44" s="194"/>
      <c r="AKV44" s="192"/>
      <c r="AKW44" s="192"/>
      <c r="AKX44" s="192"/>
      <c r="AKY44" s="192"/>
      <c r="AKZ44" s="192"/>
      <c r="ALA44" s="193"/>
      <c r="ALB44" s="192"/>
      <c r="ALC44" s="192"/>
      <c r="ALD44" s="192"/>
      <c r="ALE44" s="192"/>
      <c r="ALF44" s="192"/>
      <c r="ALG44" s="194"/>
      <c r="ALH44" s="195"/>
      <c r="ALI44" s="195"/>
      <c r="ALJ44" s="195"/>
      <c r="ALK44" s="195"/>
      <c r="ALL44" s="192"/>
      <c r="ALM44" s="193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196"/>
      <c r="AMM44" s="195"/>
      <c r="AMN44" s="195"/>
      <c r="AMO44" s="195"/>
      <c r="AMP44" s="192"/>
      <c r="AMQ44" s="197"/>
      <c r="AMR44" s="192"/>
      <c r="AMS44" s="192"/>
      <c r="AMT44" s="192"/>
      <c r="AMU44" s="192"/>
      <c r="AMV44" s="192"/>
      <c r="AMW44" s="193"/>
      <c r="AMX44" s="192"/>
      <c r="AMY44" s="192"/>
      <c r="AMZ44" s="192"/>
      <c r="ANA44" s="192"/>
      <c r="ANB44" s="192"/>
      <c r="ANC44" s="194"/>
      <c r="AND44" s="192"/>
      <c r="ANE44" s="192"/>
      <c r="ANF44" s="192"/>
      <c r="ANG44" s="192"/>
      <c r="ANH44" s="192"/>
      <c r="ANI44" s="193"/>
      <c r="ANJ44" s="192"/>
      <c r="ANK44" s="192"/>
      <c r="ANL44" s="192"/>
      <c r="ANM44" s="192"/>
      <c r="ANN44" s="192"/>
      <c r="ANO44" s="194"/>
      <c r="ANP44" s="195"/>
      <c r="ANQ44" s="195"/>
      <c r="ANR44" s="195"/>
      <c r="ANS44" s="195"/>
      <c r="ANT44" s="192"/>
      <c r="ANU44" s="193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90"/>
    </row>
    <row r="45" spans="1:1146" ht="20.100000000000001" customHeight="1" x14ac:dyDescent="0.25">
      <c r="A45" s="100" t="s">
        <v>20</v>
      </c>
      <c r="B45" s="63" t="str">
        <f>IF(LEN(C75)=0,"",C75)</f>
        <v/>
      </c>
      <c r="C45" s="21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90"/>
    </row>
    <row r="46" spans="1:1146" ht="20.100000000000001" customHeight="1" x14ac:dyDescent="0.25">
      <c r="A46" s="100" t="s">
        <v>21</v>
      </c>
      <c r="B46" s="63" t="str">
        <f>IF(LEN(C77)=0,"",C77)</f>
        <v/>
      </c>
      <c r="C46" s="22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90"/>
    </row>
    <row r="47" spans="1:1146" ht="20.100000000000001" customHeight="1" x14ac:dyDescent="0.25">
      <c r="A47" s="100" t="s">
        <v>20</v>
      </c>
      <c r="B47" s="63" t="str">
        <f>IF(LEN(C79)=0,"",C79)</f>
        <v/>
      </c>
      <c r="C47" s="21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90"/>
    </row>
    <row r="48" spans="1:1146" ht="20.100000000000001" customHeight="1" x14ac:dyDescent="0.3">
      <c r="A48" s="100" t="s">
        <v>21</v>
      </c>
      <c r="B48" s="63" t="str">
        <f>IF(LEN(C81)=0,"",C81)</f>
        <v/>
      </c>
      <c r="C48" s="21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90"/>
    </row>
    <row r="49" spans="1:1146" ht="20.100000000000001" customHeight="1" x14ac:dyDescent="0.25">
      <c r="A49" s="100" t="s">
        <v>20</v>
      </c>
      <c r="B49" s="63" t="str">
        <f>IF(LEN(C83)=0,"",C83)</f>
        <v/>
      </c>
      <c r="C49" s="21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90"/>
    </row>
    <row r="50" spans="1:1146" ht="20.100000000000001" customHeight="1" x14ac:dyDescent="0.3">
      <c r="A50" s="100" t="s">
        <v>21</v>
      </c>
      <c r="B50" s="63" t="str">
        <f>IF(LEN(C85)=0,"",C85)</f>
        <v/>
      </c>
      <c r="C50" s="21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90"/>
    </row>
    <row r="51" spans="1:1146" ht="20.100000000000001" customHeight="1" x14ac:dyDescent="0.25">
      <c r="A51" s="100" t="s">
        <v>20</v>
      </c>
      <c r="B51" s="63" t="str">
        <f>IF(LEN(C87)=0,"",C87)</f>
        <v/>
      </c>
      <c r="C51" s="21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90"/>
    </row>
    <row r="52" spans="1:1146" ht="20.100000000000001" customHeight="1" x14ac:dyDescent="0.25">
      <c r="A52" s="100" t="s">
        <v>21</v>
      </c>
      <c r="B52" s="63" t="str">
        <f>IF(LEN(C89)=0,"",C89)</f>
        <v/>
      </c>
      <c r="C52" s="22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90"/>
    </row>
    <row r="53" spans="1:1146" ht="20.100000000000001" customHeight="1" x14ac:dyDescent="0.25">
      <c r="A53" s="100" t="s">
        <v>20</v>
      </c>
      <c r="B53" s="63" t="str">
        <f>IF(LEN(C91)=0,"",C91)</f>
        <v/>
      </c>
      <c r="C53" s="21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90"/>
    </row>
    <row r="54" spans="1:1146" ht="20.100000000000001" customHeight="1" x14ac:dyDescent="0.3">
      <c r="A54" s="100" t="s">
        <v>21</v>
      </c>
      <c r="B54" s="63" t="str">
        <f>IF(LEN(C93)=0,"",C93)</f>
        <v/>
      </c>
      <c r="C54" s="21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90"/>
    </row>
    <row r="55" spans="1:1146" ht="20.100000000000001" customHeight="1" x14ac:dyDescent="0.25">
      <c r="A55" s="100" t="s">
        <v>20</v>
      </c>
      <c r="B55" s="63"/>
      <c r="C55" s="21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90"/>
    </row>
    <row r="56" spans="1:1146" ht="20.100000000000001" customHeight="1" x14ac:dyDescent="0.25">
      <c r="A56" s="100" t="s">
        <v>21</v>
      </c>
      <c r="B56" s="63"/>
      <c r="C56" s="22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90"/>
    </row>
    <row r="57" spans="1:1146" ht="20.100000000000001" customHeight="1" x14ac:dyDescent="0.25">
      <c r="A57" s="100" t="s">
        <v>20</v>
      </c>
      <c r="B57" s="63"/>
      <c r="C57" s="21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90"/>
    </row>
    <row r="58" spans="1:1146" ht="20.100000000000001" customHeight="1" x14ac:dyDescent="0.3">
      <c r="A58" s="100" t="s">
        <v>21</v>
      </c>
      <c r="B58" s="63"/>
      <c r="C58" s="21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90"/>
    </row>
    <row r="59" spans="1:1146" ht="20.100000000000001" customHeight="1" x14ac:dyDescent="0.25">
      <c r="A59" s="100" t="s">
        <v>20</v>
      </c>
      <c r="B59" s="63"/>
      <c r="C59" s="21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90"/>
    </row>
    <row r="60" spans="1:1146" ht="20.100000000000001" customHeight="1" x14ac:dyDescent="0.3">
      <c r="A60" s="100" t="s">
        <v>21</v>
      </c>
      <c r="B60" s="63"/>
      <c r="C60" s="21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90"/>
    </row>
    <row r="61" spans="1:1146" ht="20.100000000000001" customHeight="1" x14ac:dyDescent="0.25">
      <c r="A61" s="100" t="s">
        <v>20</v>
      </c>
      <c r="B61" s="63"/>
      <c r="C61" s="21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90"/>
    </row>
    <row r="62" spans="1:1146" ht="20.100000000000001" customHeight="1" x14ac:dyDescent="0.25">
      <c r="A62" s="100" t="s">
        <v>21</v>
      </c>
      <c r="B62" s="63"/>
      <c r="C62" s="22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90"/>
    </row>
    <row r="63" spans="1:1146" ht="20.100000000000001" customHeight="1" x14ac:dyDescent="0.25">
      <c r="A63" s="100" t="s">
        <v>20</v>
      </c>
      <c r="B63" s="63"/>
      <c r="C63" s="21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90"/>
    </row>
    <row r="64" spans="1:1146" ht="20.100000000000001" customHeight="1" x14ac:dyDescent="0.3">
      <c r="A64" s="100" t="s">
        <v>21</v>
      </c>
      <c r="B64" s="63"/>
      <c r="C64" s="21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90"/>
    </row>
    <row r="65" spans="1:1146" ht="20.100000000000001" customHeight="1" x14ac:dyDescent="0.25">
      <c r="A65" s="100" t="s">
        <v>20</v>
      </c>
      <c r="B65" s="63"/>
      <c r="C65" s="21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90"/>
    </row>
    <row r="66" spans="1:1146" ht="20.100000000000001" customHeight="1" x14ac:dyDescent="0.3">
      <c r="A66" s="100" t="s">
        <v>21</v>
      </c>
      <c r="B66" s="63"/>
      <c r="C66" s="21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90"/>
    </row>
    <row r="67" spans="1:1146" ht="20.100000000000001" customHeight="1" x14ac:dyDescent="0.25">
      <c r="A67" s="100" t="s">
        <v>20</v>
      </c>
      <c r="B67" s="63"/>
      <c r="C67" s="21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90"/>
    </row>
    <row r="68" spans="1:1146" ht="20.100000000000001" customHeight="1" x14ac:dyDescent="0.25">
      <c r="A68" s="100" t="s">
        <v>21</v>
      </c>
      <c r="B68" s="63"/>
      <c r="C68" s="22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90"/>
    </row>
    <row r="69" spans="1:1146" ht="20.100000000000001" customHeight="1" x14ac:dyDescent="0.25">
      <c r="A69" s="100" t="s">
        <v>20</v>
      </c>
      <c r="B69" s="63"/>
      <c r="C69" s="21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90"/>
    </row>
    <row r="70" spans="1:1146" ht="20.100000000000001" customHeight="1" x14ac:dyDescent="0.3">
      <c r="A70" s="100" t="s">
        <v>21</v>
      </c>
      <c r="B70" s="63"/>
      <c r="C70" s="21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90"/>
    </row>
    <row r="71" spans="1:1146" ht="20.100000000000001" customHeight="1" x14ac:dyDescent="0.25">
      <c r="A71" s="100" t="s">
        <v>20</v>
      </c>
      <c r="B71" s="63"/>
      <c r="C71" s="21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90"/>
    </row>
    <row r="72" spans="1:1146" ht="20.100000000000001" customHeight="1" x14ac:dyDescent="0.25">
      <c r="A72" s="100" t="s">
        <v>21</v>
      </c>
      <c r="B72" s="63"/>
      <c r="C72" s="22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90"/>
    </row>
    <row r="73" spans="1:1146" ht="20.100000000000001" customHeight="1" x14ac:dyDescent="0.25">
      <c r="A73" s="100" t="s">
        <v>20</v>
      </c>
      <c r="B73" s="63"/>
      <c r="C73" s="21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90"/>
    </row>
    <row r="74" spans="1:1146" ht="20.100000000000001" customHeight="1" x14ac:dyDescent="0.3">
      <c r="A74" s="100" t="s">
        <v>21</v>
      </c>
      <c r="B74" s="63"/>
      <c r="C74" s="21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90"/>
    </row>
    <row r="75" spans="1:1146" ht="20.100000000000001" customHeight="1" x14ac:dyDescent="0.25">
      <c r="A75" s="100" t="s">
        <v>20</v>
      </c>
      <c r="B75" s="63"/>
      <c r="C75" s="21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90"/>
    </row>
    <row r="76" spans="1:1146" ht="20.100000000000001" customHeight="1" x14ac:dyDescent="0.3">
      <c r="A76" s="100" t="s">
        <v>21</v>
      </c>
      <c r="B76" s="63"/>
      <c r="C76" s="21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90"/>
    </row>
    <row r="77" spans="1:1146" ht="20.100000000000001" customHeight="1" x14ac:dyDescent="0.25">
      <c r="A77" s="100" t="s">
        <v>20</v>
      </c>
      <c r="B77" s="63"/>
      <c r="C77" s="21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90"/>
    </row>
    <row r="78" spans="1:1146" ht="20.100000000000001" customHeight="1" x14ac:dyDescent="0.25">
      <c r="A78" s="100" t="s">
        <v>21</v>
      </c>
      <c r="B78" s="63"/>
      <c r="C78" s="22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90"/>
    </row>
    <row r="79" spans="1:1146" ht="20.100000000000001" customHeight="1" x14ac:dyDescent="0.25">
      <c r="A79" s="100" t="s">
        <v>20</v>
      </c>
      <c r="B79" s="63"/>
      <c r="C79" s="21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90"/>
    </row>
    <row r="80" spans="1:1146" ht="20.100000000000001" customHeight="1" x14ac:dyDescent="0.3">
      <c r="A80" s="100" t="s">
        <v>21</v>
      </c>
      <c r="B80" s="63"/>
      <c r="C80" s="21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90"/>
    </row>
    <row r="81" spans="1:1146" ht="20.100000000000001" customHeight="1" x14ac:dyDescent="0.25">
      <c r="A81" s="100" t="s">
        <v>20</v>
      </c>
      <c r="B81" s="63"/>
      <c r="C81" s="21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90"/>
    </row>
    <row r="82" spans="1:1146" ht="20.100000000000001" customHeight="1" x14ac:dyDescent="0.3">
      <c r="A82" s="100" t="s">
        <v>21</v>
      </c>
      <c r="B82" s="63"/>
      <c r="C82" s="21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90"/>
    </row>
    <row r="83" spans="1:1146" ht="20.100000000000001" customHeight="1" x14ac:dyDescent="0.25">
      <c r="A83" s="100" t="s">
        <v>20</v>
      </c>
      <c r="B83" s="63"/>
      <c r="C83" s="21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90"/>
    </row>
    <row r="84" spans="1:1146" ht="20.100000000000001" customHeight="1" x14ac:dyDescent="0.25">
      <c r="A84" s="100" t="s">
        <v>21</v>
      </c>
      <c r="B84" s="63"/>
      <c r="C84" s="22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90"/>
    </row>
    <row r="85" spans="1:1146" ht="20.100000000000001" customHeight="1" x14ac:dyDescent="0.25">
      <c r="A85" s="100" t="s">
        <v>20</v>
      </c>
      <c r="B85" s="63"/>
      <c r="C85" s="21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90"/>
    </row>
    <row r="86" spans="1:1146" ht="20.100000000000001" customHeight="1" x14ac:dyDescent="0.3">
      <c r="A86" s="100" t="s">
        <v>21</v>
      </c>
      <c r="B86" s="63"/>
      <c r="C86" s="21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90"/>
    </row>
    <row r="87" spans="1:1146" ht="20.100000000000001" customHeight="1" x14ac:dyDescent="0.25">
      <c r="A87" s="100" t="s">
        <v>20</v>
      </c>
      <c r="B87" s="63"/>
      <c r="C87" s="21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90"/>
    </row>
    <row r="88" spans="1:1146" ht="20.100000000000001" customHeight="1" x14ac:dyDescent="0.25">
      <c r="A88" s="100" t="s">
        <v>21</v>
      </c>
      <c r="B88" s="63"/>
      <c r="C88" s="22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90"/>
    </row>
    <row r="89" spans="1:1146" ht="20.100000000000001" customHeight="1" x14ac:dyDescent="0.25">
      <c r="A89" s="100" t="s">
        <v>20</v>
      </c>
      <c r="B89" s="63"/>
      <c r="C89" s="21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90"/>
    </row>
    <row r="90" spans="1:1146" ht="20.100000000000001" customHeight="1" x14ac:dyDescent="0.3">
      <c r="A90" s="100" t="s">
        <v>21</v>
      </c>
      <c r="B90" s="63"/>
      <c r="C90" s="21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90"/>
    </row>
    <row r="91" spans="1:1146" ht="20.100000000000001" customHeight="1" x14ac:dyDescent="0.25">
      <c r="A91" s="100" t="s">
        <v>20</v>
      </c>
      <c r="B91" s="63"/>
      <c r="C91" s="21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90"/>
    </row>
    <row r="92" spans="1:1146" ht="20.100000000000001" customHeight="1" x14ac:dyDescent="0.3">
      <c r="A92" s="100" t="s">
        <v>21</v>
      </c>
      <c r="B92" s="63"/>
      <c r="C92" s="21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90"/>
    </row>
    <row r="93" spans="1:1146" ht="20.100000000000001" customHeight="1" x14ac:dyDescent="0.25">
      <c r="A93" s="100" t="s">
        <v>20</v>
      </c>
      <c r="B93" s="63"/>
      <c r="C93" s="21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90"/>
    </row>
    <row r="94" spans="1:1146" ht="20.100000000000001" customHeight="1" x14ac:dyDescent="0.25">
      <c r="A94" s="100" t="s">
        <v>21</v>
      </c>
      <c r="B94" s="63"/>
      <c r="C94" s="22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90"/>
    </row>
    <row r="95" spans="1:1146" ht="20.100000000000001" customHeight="1" x14ac:dyDescent="0.25">
      <c r="B95" s="96"/>
      <c r="C95" s="210" t="s">
        <v>9</v>
      </c>
      <c r="D95" s="211"/>
      <c r="E95" s="117">
        <f>SUM(E15,E17,E19,E21,E23,E25,E27,E29,E31,E33,E35,E37,E39,E41,E43,E45,E47,E49,E51,E53,E55,E57,E59,E61,E63,E65,E67,E69,E71,E73,E75,E77,E79,E81,E83,E85,E87,E89,E91,E93)</f>
        <v>702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90"/>
    </row>
    <row r="96" spans="1:1146" ht="20.100000000000001" customHeight="1" thickBot="1" x14ac:dyDescent="0.3">
      <c r="B96" s="96"/>
      <c r="C96" s="212"/>
      <c r="D96" s="213"/>
      <c r="E96" s="123" t="str">
        <f xml:space="preserve"> setValueToTime(E95)</f>
        <v>58h30min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90"/>
    </row>
    <row r="97" spans="2:1146" ht="20.100000000000001" customHeight="1" x14ac:dyDescent="0.25">
      <c r="B97" s="96"/>
      <c r="C97" s="214" t="s">
        <v>10</v>
      </c>
      <c r="D97" s="215"/>
      <c r="E97" s="118">
        <f>SUM(E16,E18,E20,E22,E24,E26,E28,E30,E32,E34,E36,E38,E40,E42,E44,E46,E48,E50,E52,E54,E56,E58,E60,E62,E64,E66,E68,E70,E72,E74,E76,E78,E80,E82,E84,E86,E88,E90,E92,E94)</f>
        <v>711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24"/>
    </row>
    <row r="98" spans="2:1146" ht="20.100000000000001" customHeight="1" thickBot="1" x14ac:dyDescent="0.3">
      <c r="B98" s="96"/>
      <c r="C98" s="216"/>
      <c r="D98" s="217"/>
      <c r="E98" s="122" t="str">
        <f xml:space="preserve"> setValueToTime(E97)</f>
        <v>59h15min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90"/>
    </row>
    <row r="99" spans="2:11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91"/>
    </row>
  </sheetData>
  <sheetProtection insertRows="0" insertHyperlinks="0" selectLockedCells="1"/>
  <mergeCells count="297"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229"/>
  <sheetViews>
    <sheetView showGridLines="0" zoomScaleNormal="100" zoomScaleSheetLayoutView="98" workbookViewId="0">
      <pane ySplit="1" topLeftCell="A26" activePane="bottomLeft" state="frozen"/>
      <selection activeCell="BC13" sqref="BC13"/>
      <selection pane="bottomLeft" activeCell="D40" sqref="D40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0.5703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19</v>
      </c>
      <c r="C2" s="163"/>
      <c r="D2" s="82" t="s">
        <v>15</v>
      </c>
      <c r="E2" s="94">
        <v>44729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9" t="s">
        <v>14</v>
      </c>
      <c r="F3" s="240"/>
      <c r="G3" s="46"/>
    </row>
    <row r="4" spans="1:7" s="52" customFormat="1" x14ac:dyDescent="0.3">
      <c r="A4" s="48" t="s">
        <v>4</v>
      </c>
      <c r="B4" s="49">
        <v>36</v>
      </c>
      <c r="C4" s="152" t="str">
        <f xml:space="preserve"> IF(B4="","",setValueToTime(B4))</f>
        <v>3h</v>
      </c>
      <c r="D4" s="166" t="s">
        <v>109</v>
      </c>
      <c r="E4" s="241"/>
      <c r="F4" s="242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3"/>
      <c r="F10" s="23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37"/>
      <c r="F12" s="23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18</v>
      </c>
      <c r="C14" s="163"/>
      <c r="D14" s="82" t="s">
        <v>15</v>
      </c>
      <c r="E14" s="94">
        <v>44729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9" t="s">
        <v>14</v>
      </c>
      <c r="F15" s="240"/>
      <c r="G15" s="46"/>
    </row>
    <row r="16" spans="1:7" s="52" customFormat="1" ht="27" x14ac:dyDescent="0.3">
      <c r="A16" s="48" t="s">
        <v>110</v>
      </c>
      <c r="B16" s="49">
        <v>36</v>
      </c>
      <c r="C16" s="152" t="str">
        <f xml:space="preserve"> IF(B16="","",setValueToTime(B16))</f>
        <v>3h</v>
      </c>
      <c r="D16" s="166" t="s">
        <v>118</v>
      </c>
      <c r="E16" s="241"/>
      <c r="F16" s="242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3"/>
      <c r="F17" s="234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3"/>
      <c r="F18" s="23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3"/>
      <c r="F19" s="23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3"/>
      <c r="F20" s="23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3"/>
      <c r="F21" s="23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3"/>
      <c r="F22" s="23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37"/>
      <c r="F24" s="23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17</v>
      </c>
      <c r="C26" s="163"/>
      <c r="D26" s="82" t="s">
        <v>15</v>
      </c>
      <c r="E26" s="94">
        <v>44727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9" t="s">
        <v>14</v>
      </c>
      <c r="F27" s="240"/>
      <c r="G27" s="46"/>
    </row>
    <row r="28" spans="1:7" s="52" customFormat="1" ht="27" x14ac:dyDescent="0.3">
      <c r="A28" s="48" t="s">
        <v>110</v>
      </c>
      <c r="B28" s="49">
        <v>36</v>
      </c>
      <c r="C28" s="152" t="str">
        <f xml:space="preserve"> IF(B28="","",setValueToTime(B28))</f>
        <v>3h</v>
      </c>
      <c r="D28" s="166" t="s">
        <v>117</v>
      </c>
      <c r="E28" s="241"/>
      <c r="F28" s="242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3"/>
      <c r="F29" s="234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3"/>
      <c r="F30" s="23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3"/>
      <c r="F31" s="23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3"/>
      <c r="F32" s="23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3"/>
      <c r="F33" s="23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3"/>
      <c r="F34" s="23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37"/>
      <c r="F36" s="23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16</v>
      </c>
      <c r="C38" s="163"/>
      <c r="D38" s="82" t="s">
        <v>15</v>
      </c>
      <c r="E38" s="94">
        <v>44727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9" t="s">
        <v>14</v>
      </c>
      <c r="F39" s="240"/>
      <c r="G39" s="46"/>
    </row>
    <row r="40" spans="1:7" s="52" customFormat="1" ht="27" x14ac:dyDescent="0.3">
      <c r="A40" s="48" t="s">
        <v>100</v>
      </c>
      <c r="B40" s="49">
        <v>45</v>
      </c>
      <c r="C40" s="152" t="str">
        <f xml:space="preserve"> IF(B40="","",setValueToTime(B40))</f>
        <v>3h45min</v>
      </c>
      <c r="D40" s="166" t="s">
        <v>120</v>
      </c>
      <c r="E40" s="241"/>
      <c r="F40" s="242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3"/>
      <c r="F41" s="234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3"/>
      <c r="F42" s="23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3"/>
      <c r="F43" s="23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3"/>
      <c r="F44" s="23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3"/>
      <c r="F45" s="23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3"/>
      <c r="F46" s="23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29</v>
      </c>
      <c r="B48" s="84">
        <f>SUM(B40:B47)</f>
        <v>45</v>
      </c>
      <c r="C48" s="111" t="str">
        <f xml:space="preserve"> setValueToTime(B48)</f>
        <v>3h45min</v>
      </c>
      <c r="D48" s="120"/>
      <c r="E48" s="237"/>
      <c r="F48" s="23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15</v>
      </c>
      <c r="C50" s="163"/>
      <c r="D50" s="82" t="s">
        <v>15</v>
      </c>
      <c r="E50" s="94">
        <v>44726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9" t="s">
        <v>14</v>
      </c>
      <c r="F51" s="240"/>
      <c r="G51" s="46"/>
    </row>
    <row r="52" spans="1:7" s="52" customFormat="1" ht="27" x14ac:dyDescent="0.3">
      <c r="A52" s="48" t="s">
        <v>100</v>
      </c>
      <c r="B52" s="49">
        <v>36</v>
      </c>
      <c r="C52" s="152" t="str">
        <f xml:space="preserve"> IF(B52="","",setValueToTime(B52))</f>
        <v>3h</v>
      </c>
      <c r="D52" s="166" t="s">
        <v>116</v>
      </c>
      <c r="E52" s="241"/>
      <c r="F52" s="242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3"/>
      <c r="F53" s="234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3"/>
      <c r="F54" s="23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3"/>
      <c r="F55" s="23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3"/>
      <c r="F56" s="23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3"/>
      <c r="F57" s="23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3"/>
      <c r="F58" s="23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37"/>
      <c r="F60" s="23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14</v>
      </c>
      <c r="C62" s="163"/>
      <c r="D62" s="82" t="s">
        <v>15</v>
      </c>
      <c r="E62" s="94">
        <v>44725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9" t="s">
        <v>14</v>
      </c>
      <c r="F63" s="240"/>
      <c r="G63" s="46"/>
    </row>
    <row r="64" spans="1:7" s="52" customFormat="1" ht="27" x14ac:dyDescent="0.3">
      <c r="A64" s="48" t="s">
        <v>100</v>
      </c>
      <c r="B64" s="49">
        <v>36</v>
      </c>
      <c r="C64" s="152" t="str">
        <f xml:space="preserve"> IF(B64="","",setValueToTime(B64))</f>
        <v>3h</v>
      </c>
      <c r="D64" s="166" t="s">
        <v>114</v>
      </c>
      <c r="E64" s="241"/>
      <c r="F64" s="242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3"/>
      <c r="F65" s="234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3"/>
      <c r="F66" s="23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3"/>
      <c r="F67" s="23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3"/>
      <c r="F68" s="23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3"/>
      <c r="F69" s="23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3"/>
      <c r="F70" s="23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37"/>
      <c r="F72" s="23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13</v>
      </c>
      <c r="C74" s="163"/>
      <c r="D74" s="82" t="s">
        <v>15</v>
      </c>
      <c r="E74" s="94">
        <v>44725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9" t="s">
        <v>14</v>
      </c>
      <c r="F75" s="240"/>
      <c r="G75" s="46"/>
    </row>
    <row r="76" spans="1:7" s="52" customFormat="1" ht="27" x14ac:dyDescent="0.3">
      <c r="A76" s="48" t="s">
        <v>100</v>
      </c>
      <c r="B76" s="49">
        <v>36</v>
      </c>
      <c r="C76" s="152" t="str">
        <f xml:space="preserve"> IF(B76="","",setValueToTime(B76))</f>
        <v>3h</v>
      </c>
      <c r="D76" s="166" t="s">
        <v>115</v>
      </c>
      <c r="E76" s="241"/>
      <c r="F76" s="242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33"/>
      <c r="F77" s="234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3"/>
      <c r="F78" s="23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3"/>
      <c r="F79" s="23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3"/>
      <c r="F80" s="23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3"/>
      <c r="F81" s="23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3"/>
      <c r="F82" s="23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37"/>
      <c r="F84" s="23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12</v>
      </c>
      <c r="C86" s="163"/>
      <c r="D86" s="82" t="s">
        <v>15</v>
      </c>
      <c r="E86" s="94">
        <v>44722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9" t="s">
        <v>14</v>
      </c>
      <c r="F87" s="240"/>
      <c r="G87" s="46"/>
    </row>
    <row r="88" spans="1:7" s="52" customFormat="1" ht="27" x14ac:dyDescent="0.3">
      <c r="A88" s="48" t="s">
        <v>100</v>
      </c>
      <c r="B88" s="49">
        <v>36</v>
      </c>
      <c r="C88" s="152" t="str">
        <f xml:space="preserve"> IF(B88="","",setValueToTime(B88))</f>
        <v>3h</v>
      </c>
      <c r="D88" s="166" t="s">
        <v>119</v>
      </c>
      <c r="E88" s="241"/>
      <c r="F88" s="242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33"/>
      <c r="F89" s="23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3"/>
      <c r="F90" s="23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3"/>
      <c r="F91" s="23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3"/>
      <c r="F92" s="23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3"/>
      <c r="F93" s="23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3"/>
      <c r="F94" s="23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11" t="s">
        <v>29</v>
      </c>
      <c r="B96" s="84">
        <f>SUM(B88:B95)</f>
        <v>36</v>
      </c>
      <c r="C96" s="111" t="str">
        <f xml:space="preserve"> setValueToTime(B96)</f>
        <v>3h</v>
      </c>
      <c r="D96" s="120"/>
      <c r="E96" s="237"/>
      <c r="F96" s="238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11</v>
      </c>
      <c r="C98" s="163"/>
      <c r="D98" s="82" t="s">
        <v>15</v>
      </c>
      <c r="E98" s="94">
        <v>44722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42</v>
      </c>
      <c r="C99" s="151"/>
      <c r="D99" s="80" t="s">
        <v>13</v>
      </c>
      <c r="E99" s="239" t="s">
        <v>14</v>
      </c>
      <c r="F99" s="240"/>
      <c r="G99" s="46"/>
    </row>
    <row r="100" spans="1:7" s="52" customFormat="1" x14ac:dyDescent="0.3">
      <c r="A100" s="48" t="s">
        <v>93</v>
      </c>
      <c r="B100" s="49">
        <v>36</v>
      </c>
      <c r="C100" s="152" t="str">
        <f xml:space="preserve"> IF(B100="","",setValueToTime(B100))</f>
        <v>3h</v>
      </c>
      <c r="D100" s="166" t="s">
        <v>99</v>
      </c>
      <c r="E100" s="241"/>
      <c r="F100" s="242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33"/>
      <c r="F101" s="234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3"/>
      <c r="F102" s="234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3"/>
      <c r="F103" s="234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3"/>
      <c r="F104" s="234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3"/>
      <c r="F105" s="234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3"/>
      <c r="F106" s="234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29</v>
      </c>
      <c r="B108" s="84">
        <f>SUM(B100:B107)</f>
        <v>36</v>
      </c>
      <c r="C108" s="111" t="str">
        <f xml:space="preserve"> setValueToTime(B108)</f>
        <v>3h</v>
      </c>
      <c r="D108" s="120"/>
      <c r="E108" s="237"/>
      <c r="F108" s="238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10</v>
      </c>
      <c r="C110" s="163"/>
      <c r="D110" s="82" t="s">
        <v>15</v>
      </c>
      <c r="E110" s="94">
        <v>44720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42</v>
      </c>
      <c r="C111" s="151"/>
      <c r="D111" s="80" t="s">
        <v>13</v>
      </c>
      <c r="E111" s="239" t="s">
        <v>14</v>
      </c>
      <c r="F111" s="240"/>
      <c r="G111" s="46"/>
    </row>
    <row r="112" spans="1:7" s="52" customFormat="1" ht="27" x14ac:dyDescent="0.3">
      <c r="A112" s="48" t="s">
        <v>86</v>
      </c>
      <c r="B112" s="49">
        <v>36</v>
      </c>
      <c r="C112" s="152" t="str">
        <f xml:space="preserve"> IF(B112="","",setValueToTime(B112))</f>
        <v>3h</v>
      </c>
      <c r="D112" s="166" t="s">
        <v>88</v>
      </c>
      <c r="E112" s="241"/>
      <c r="F112" s="242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33"/>
      <c r="F113" s="234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3"/>
      <c r="F114" s="234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3"/>
      <c r="F115" s="234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3"/>
      <c r="F116" s="234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3"/>
      <c r="F117" s="234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3"/>
      <c r="F118" s="234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29</v>
      </c>
      <c r="B120" s="84">
        <f>SUM(B112:B119)</f>
        <v>36</v>
      </c>
      <c r="C120" s="111" t="str">
        <f xml:space="preserve"> setValueToTime(B120)</f>
        <v>3h</v>
      </c>
      <c r="D120" s="120"/>
      <c r="E120" s="237"/>
      <c r="F120" s="238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9</v>
      </c>
      <c r="C122" s="163"/>
      <c r="D122" s="82" t="s">
        <v>15</v>
      </c>
      <c r="E122" s="94">
        <v>44720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42</v>
      </c>
      <c r="C123" s="151"/>
      <c r="D123" s="80" t="s">
        <v>13</v>
      </c>
      <c r="E123" s="239" t="s">
        <v>14</v>
      </c>
      <c r="F123" s="240"/>
      <c r="G123" s="46"/>
    </row>
    <row r="124" spans="1:7" s="52" customFormat="1" ht="27" x14ac:dyDescent="0.3">
      <c r="A124" s="48" t="s">
        <v>86</v>
      </c>
      <c r="B124" s="49">
        <v>45</v>
      </c>
      <c r="C124" s="152" t="str">
        <f xml:space="preserve"> IF(B124="","",setValueToTime(B124))</f>
        <v>3h45min</v>
      </c>
      <c r="D124" s="166" t="s">
        <v>87</v>
      </c>
      <c r="E124" s="241"/>
      <c r="F124" s="242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33"/>
      <c r="F125" s="234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3"/>
      <c r="F126" s="234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3"/>
      <c r="F127" s="234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3"/>
      <c r="F128" s="234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3"/>
      <c r="F129" s="234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3"/>
      <c r="F130" s="234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29</v>
      </c>
      <c r="B132" s="84">
        <f>SUM(B124:B131)</f>
        <v>45</v>
      </c>
      <c r="C132" s="111" t="str">
        <f xml:space="preserve"> setValueToTime(B132)</f>
        <v>3h45min</v>
      </c>
      <c r="D132" s="120"/>
      <c r="E132" s="237"/>
      <c r="F132" s="238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8</v>
      </c>
      <c r="C134" s="163"/>
      <c r="D134" s="82" t="s">
        <v>15</v>
      </c>
      <c r="E134" s="94">
        <v>44719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42</v>
      </c>
      <c r="C135" s="151"/>
      <c r="D135" s="80" t="s">
        <v>13</v>
      </c>
      <c r="E135" s="239" t="s">
        <v>14</v>
      </c>
      <c r="F135" s="240"/>
      <c r="G135" s="46"/>
    </row>
    <row r="136" spans="1:7" s="52" customFormat="1" ht="27" x14ac:dyDescent="0.3">
      <c r="A136" s="48" t="s">
        <v>50</v>
      </c>
      <c r="B136" s="49">
        <v>36</v>
      </c>
      <c r="C136" s="152" t="str">
        <f xml:space="preserve"> IF(B136="","",setValueToTime(B136))</f>
        <v>3h</v>
      </c>
      <c r="D136" s="166" t="s">
        <v>82</v>
      </c>
      <c r="E136" s="241"/>
      <c r="F136" s="242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33"/>
      <c r="F137" s="234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3"/>
      <c r="F138" s="234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3"/>
      <c r="F139" s="234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3"/>
      <c r="F140" s="234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3"/>
      <c r="F141" s="234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3"/>
      <c r="F142" s="234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29</v>
      </c>
      <c r="B144" s="84">
        <f>SUM(B136:B143)</f>
        <v>36</v>
      </c>
      <c r="C144" s="111" t="str">
        <f xml:space="preserve"> setValueToTime(B144)</f>
        <v>3h</v>
      </c>
      <c r="D144" s="120"/>
      <c r="E144" s="237"/>
      <c r="F144" s="238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7</v>
      </c>
      <c r="C146" s="163"/>
      <c r="D146" s="82" t="s">
        <v>15</v>
      </c>
      <c r="E146" s="94">
        <v>44715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42</v>
      </c>
      <c r="C147" s="151"/>
      <c r="D147" s="80" t="s">
        <v>13</v>
      </c>
      <c r="E147" s="239" t="s">
        <v>14</v>
      </c>
      <c r="F147" s="240"/>
      <c r="G147" s="46"/>
    </row>
    <row r="148" spans="1:7" s="52" customFormat="1" ht="27" x14ac:dyDescent="0.3">
      <c r="A148" s="48" t="s">
        <v>48</v>
      </c>
      <c r="B148" s="49">
        <v>36</v>
      </c>
      <c r="C148" s="152" t="str">
        <f xml:space="preserve"> IF(B148="","",setValueToTime(B148))</f>
        <v>3h</v>
      </c>
      <c r="D148" s="166" t="s">
        <v>60</v>
      </c>
      <c r="E148" s="241"/>
      <c r="F148" s="242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3"/>
      <c r="F149" s="234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3"/>
      <c r="F150" s="234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3"/>
      <c r="F151" s="234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3"/>
      <c r="F152" s="234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3"/>
      <c r="F153" s="234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3"/>
      <c r="F154" s="234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11" t="s">
        <v>29</v>
      </c>
      <c r="B156" s="84">
        <f>SUM(B148:B155)</f>
        <v>36</v>
      </c>
      <c r="C156" s="111" t="str">
        <f xml:space="preserve"> setValueToTime(B156)</f>
        <v>3h</v>
      </c>
      <c r="D156" s="120"/>
      <c r="E156" s="237"/>
      <c r="F156" s="238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6</v>
      </c>
      <c r="C158" s="163"/>
      <c r="D158" s="82" t="s">
        <v>15</v>
      </c>
      <c r="E158" s="94">
        <v>44715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42</v>
      </c>
      <c r="C159" s="151"/>
      <c r="D159" s="80" t="s">
        <v>13</v>
      </c>
      <c r="E159" s="239" t="s">
        <v>14</v>
      </c>
      <c r="F159" s="240"/>
      <c r="G159" s="46"/>
    </row>
    <row r="160" spans="1:7" s="52" customFormat="1" x14ac:dyDescent="0.3">
      <c r="A160" s="48" t="s">
        <v>47</v>
      </c>
      <c r="B160" s="49">
        <v>36</v>
      </c>
      <c r="C160" s="152" t="str">
        <f xml:space="preserve"> IF(B160="","",setValueToTime(B160))</f>
        <v>3h</v>
      </c>
      <c r="D160" s="166" t="s">
        <v>59</v>
      </c>
      <c r="E160" s="241"/>
      <c r="F160" s="242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33"/>
      <c r="F161" s="234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3"/>
      <c r="F162" s="234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3"/>
      <c r="F163" s="234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3"/>
      <c r="F164" s="234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3"/>
      <c r="F165" s="234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3"/>
      <c r="F166" s="234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11" t="s">
        <v>29</v>
      </c>
      <c r="B168" s="84">
        <f>SUM(B160:B167)</f>
        <v>36</v>
      </c>
      <c r="C168" s="111" t="str">
        <f xml:space="preserve"> setValueToTime(B168)</f>
        <v>3h</v>
      </c>
      <c r="D168" s="120"/>
      <c r="E168" s="237"/>
      <c r="F168" s="238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5</v>
      </c>
      <c r="C170" s="163"/>
      <c r="D170" s="82" t="s">
        <v>15</v>
      </c>
      <c r="E170" s="94">
        <v>44713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42</v>
      </c>
      <c r="C171" s="151"/>
      <c r="D171" s="80" t="s">
        <v>13</v>
      </c>
      <c r="E171" s="239" t="s">
        <v>14</v>
      </c>
      <c r="F171" s="240"/>
      <c r="G171" s="46"/>
    </row>
    <row r="172" spans="1:7" s="52" customFormat="1" x14ac:dyDescent="0.3">
      <c r="A172" s="48" t="s">
        <v>33</v>
      </c>
      <c r="B172" s="49">
        <v>36</v>
      </c>
      <c r="C172" s="152" t="str">
        <f xml:space="preserve"> IF(B172="","",setValueToTime(B172))</f>
        <v>3h</v>
      </c>
      <c r="D172" s="166" t="s">
        <v>58</v>
      </c>
      <c r="E172" s="241"/>
      <c r="F172" s="242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33"/>
      <c r="F173" s="234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3"/>
      <c r="F174" s="234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3"/>
      <c r="F175" s="234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3"/>
      <c r="F176" s="234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3"/>
      <c r="F177" s="234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3"/>
      <c r="F178" s="234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11" t="s">
        <v>29</v>
      </c>
      <c r="B180" s="84">
        <f>SUM(B172:B179)</f>
        <v>36</v>
      </c>
      <c r="C180" s="111" t="str">
        <f xml:space="preserve"> setValueToTime(B180)</f>
        <v>3h</v>
      </c>
      <c r="D180" s="120"/>
      <c r="E180" s="237"/>
      <c r="F180" s="238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4</v>
      </c>
      <c r="C182" s="163"/>
      <c r="D182" s="82" t="s">
        <v>15</v>
      </c>
      <c r="E182" s="94">
        <v>44713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42</v>
      </c>
      <c r="C183" s="151"/>
      <c r="D183" s="80" t="s">
        <v>13</v>
      </c>
      <c r="E183" s="239" t="s">
        <v>14</v>
      </c>
      <c r="F183" s="240"/>
      <c r="G183" s="46"/>
    </row>
    <row r="184" spans="1:7" s="52" customFormat="1" x14ac:dyDescent="0.3">
      <c r="A184" s="48" t="s">
        <v>46</v>
      </c>
      <c r="B184" s="49">
        <v>12</v>
      </c>
      <c r="C184" s="152" t="str">
        <f xml:space="preserve"> IF(B184="","",setValueToTime(B184))</f>
        <v>1h</v>
      </c>
      <c r="D184" s="166" t="s">
        <v>56</v>
      </c>
      <c r="E184" s="241"/>
      <c r="F184" s="242"/>
      <c r="G184" s="51"/>
    </row>
    <row r="185" spans="1:7" s="52" customFormat="1" x14ac:dyDescent="0.3">
      <c r="A185" s="53" t="s">
        <v>33</v>
      </c>
      <c r="B185" s="54">
        <v>33</v>
      </c>
      <c r="C185" s="153" t="str">
        <f t="shared" ref="C185:C191" si="15" xml:space="preserve"> IF(B185="","",setValueToTime(B185))</f>
        <v>2h45min</v>
      </c>
      <c r="D185" s="167" t="s">
        <v>57</v>
      </c>
      <c r="E185" s="233"/>
      <c r="F185" s="234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33"/>
      <c r="F186" s="234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3"/>
      <c r="F187" s="234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3"/>
      <c r="F188" s="234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3"/>
      <c r="F189" s="234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3"/>
      <c r="F190" s="234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11" t="s">
        <v>29</v>
      </c>
      <c r="B192" s="84">
        <f>SUM(B184:B191)</f>
        <v>45</v>
      </c>
      <c r="C192" s="111" t="str">
        <f xml:space="preserve"> setValueToTime(B192)</f>
        <v>3h45min</v>
      </c>
      <c r="D192" s="120"/>
      <c r="E192" s="237"/>
      <c r="F192" s="238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3</v>
      </c>
      <c r="C194" s="163"/>
      <c r="D194" s="82" t="s">
        <v>15</v>
      </c>
      <c r="E194" s="94">
        <v>44712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42</v>
      </c>
      <c r="C195" s="151"/>
      <c r="D195" s="80" t="s">
        <v>13</v>
      </c>
      <c r="E195" s="239" t="s">
        <v>14</v>
      </c>
      <c r="F195" s="240"/>
      <c r="G195" s="46"/>
    </row>
    <row r="196" spans="1:7" s="52" customFormat="1" x14ac:dyDescent="0.3">
      <c r="A196" s="48" t="s">
        <v>33</v>
      </c>
      <c r="B196" s="49">
        <v>12</v>
      </c>
      <c r="C196" s="152" t="str">
        <f xml:space="preserve"> IF(B196="","",setValueToTime(B196))</f>
        <v>1h</v>
      </c>
      <c r="D196" s="166" t="s">
        <v>53</v>
      </c>
      <c r="E196" s="241"/>
      <c r="F196" s="242"/>
      <c r="G196" s="51"/>
    </row>
    <row r="197" spans="1:7" s="52" customFormat="1" ht="27" x14ac:dyDescent="0.3">
      <c r="A197" s="53" t="s">
        <v>54</v>
      </c>
      <c r="B197" s="54">
        <v>24</v>
      </c>
      <c r="C197" s="153" t="str">
        <f t="shared" ref="C197:C203" si="16" xml:space="preserve"> IF(B197="","",setValueToTime(B197))</f>
        <v>2h</v>
      </c>
      <c r="D197" s="167" t="s">
        <v>55</v>
      </c>
      <c r="E197" s="233"/>
      <c r="F197" s="234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3"/>
      <c r="F198" s="234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3"/>
      <c r="F199" s="234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3"/>
      <c r="F200" s="234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3"/>
      <c r="F201" s="234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3"/>
      <c r="F202" s="234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5"/>
      <c r="F203" s="236"/>
      <c r="G203" s="51"/>
    </row>
    <row r="204" spans="1:7" s="52" customFormat="1" ht="15" thickBot="1" x14ac:dyDescent="0.35">
      <c r="A204" s="111" t="s">
        <v>29</v>
      </c>
      <c r="B204" s="84">
        <f>SUM(B196:B203)</f>
        <v>36</v>
      </c>
      <c r="C204" s="111" t="str">
        <f xml:space="preserve"> setValueToTime(B204)</f>
        <v>3h</v>
      </c>
      <c r="D204" s="120"/>
      <c r="E204" s="237"/>
      <c r="F204" s="238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2</v>
      </c>
      <c r="C206" s="163"/>
      <c r="D206" s="82" t="s">
        <v>15</v>
      </c>
      <c r="E206" s="94">
        <v>44711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42</v>
      </c>
      <c r="C207" s="151"/>
      <c r="D207" s="80" t="s">
        <v>13</v>
      </c>
      <c r="E207" s="239" t="s">
        <v>14</v>
      </c>
      <c r="F207" s="240"/>
      <c r="G207" s="46"/>
    </row>
    <row r="208" spans="1:7" s="52" customFormat="1" x14ac:dyDescent="0.3">
      <c r="A208" s="48" t="s">
        <v>46</v>
      </c>
      <c r="B208" s="49">
        <v>27</v>
      </c>
      <c r="C208" s="152" t="str">
        <f xml:space="preserve"> IF(B208="","",setValueToTime(B208))</f>
        <v>2h15min</v>
      </c>
      <c r="D208" s="166" t="s">
        <v>52</v>
      </c>
      <c r="E208" s="241"/>
      <c r="F208" s="242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33"/>
      <c r="F209" s="234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33"/>
      <c r="F210" s="234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3"/>
      <c r="F211" s="234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3"/>
      <c r="F212" s="234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3"/>
      <c r="F213" s="234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3"/>
      <c r="F214" s="234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11" t="s">
        <v>29</v>
      </c>
      <c r="B216" s="84">
        <f>SUM(B208:B215)</f>
        <v>27</v>
      </c>
      <c r="C216" s="111" t="str">
        <f xml:space="preserve"> setValueToTime(B216)</f>
        <v>2h15min</v>
      </c>
      <c r="D216" s="120"/>
      <c r="E216" s="237"/>
      <c r="F216" s="238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1</v>
      </c>
      <c r="C218" s="163"/>
      <c r="D218" s="82" t="s">
        <v>15</v>
      </c>
      <c r="E218" s="94">
        <v>44711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42</v>
      </c>
      <c r="C219" s="151"/>
      <c r="D219" s="80" t="s">
        <v>13</v>
      </c>
      <c r="E219" s="239" t="s">
        <v>14</v>
      </c>
      <c r="F219" s="240"/>
      <c r="G219" s="46"/>
    </row>
    <row r="220" spans="1:7" s="52" customFormat="1" x14ac:dyDescent="0.3">
      <c r="A220" s="48" t="s">
        <v>4</v>
      </c>
      <c r="B220" s="49">
        <v>18</v>
      </c>
      <c r="C220" s="152" t="str">
        <f xml:space="preserve"> IF(B220="","",setValueToTime(B220))</f>
        <v>1h30min</v>
      </c>
      <c r="D220" s="166" t="s">
        <v>65</v>
      </c>
      <c r="E220" s="241"/>
      <c r="F220" s="242"/>
      <c r="G220" s="51"/>
    </row>
    <row r="221" spans="1:7" s="52" customFormat="1" x14ac:dyDescent="0.3">
      <c r="A221" s="53" t="s">
        <v>33</v>
      </c>
      <c r="B221" s="54">
        <v>18</v>
      </c>
      <c r="C221" s="153" t="str">
        <f t="shared" ref="C221:C227" si="18" xml:space="preserve"> IF(B221="","",setValueToTime(B221))</f>
        <v>1h30min</v>
      </c>
      <c r="D221" s="167" t="s">
        <v>51</v>
      </c>
      <c r="E221" s="233"/>
      <c r="F221" s="234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33"/>
      <c r="F222" s="234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3"/>
      <c r="F223" s="234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3"/>
      <c r="F224" s="234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3"/>
      <c r="F225" s="234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3"/>
      <c r="F226" s="234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11" t="s">
        <v>29</v>
      </c>
      <c r="B228" s="84">
        <f>SUM(B220:B227)</f>
        <v>36</v>
      </c>
      <c r="C228" s="111" t="str">
        <f xml:space="preserve"> setValueToTime(B228)</f>
        <v>3h</v>
      </c>
      <c r="D228" s="120"/>
      <c r="E228" s="237"/>
      <c r="F228" s="238"/>
      <c r="G228" s="51"/>
    </row>
    <row r="229" spans="1:7" s="59" customFormat="1" x14ac:dyDescent="0.3">
      <c r="A229" s="79"/>
      <c r="B229" s="79"/>
      <c r="C229" s="79"/>
      <c r="D229" s="79"/>
      <c r="E229" s="79"/>
      <c r="F229" s="79"/>
      <c r="G229" s="58"/>
    </row>
  </sheetData>
  <sheetProtection formatRows="0" insertRows="0" insertHyperlinks="0" deleteRows="0" selectLockedCells="1"/>
  <mergeCells count="19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9:F219"/>
    <mergeCell ref="E220:F220"/>
    <mergeCell ref="E221:F221"/>
    <mergeCell ref="E222:F222"/>
    <mergeCell ref="E223:F223"/>
    <mergeCell ref="E224:F224"/>
    <mergeCell ref="E213:F213"/>
    <mergeCell ref="E214:F214"/>
    <mergeCell ref="E215:F215"/>
    <mergeCell ref="E216:F216"/>
    <mergeCell ref="E204:F204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0:F160"/>
    <mergeCell ref="E161:F161"/>
    <mergeCell ref="E162:F162"/>
    <mergeCell ref="E163:F163"/>
    <mergeCell ref="E176:F176"/>
    <mergeCell ref="E164:F164"/>
    <mergeCell ref="E166:F166"/>
    <mergeCell ref="E167:F167"/>
    <mergeCell ref="E168:F168"/>
    <mergeCell ref="E165:F165"/>
    <mergeCell ref="E159:F159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</mergeCells>
  <phoneticPr fontId="0" type="noConversion"/>
  <conditionalFormatting sqref="B228">
    <cfRule type="cellIs" dxfId="39" priority="19" operator="greaterThan">
      <formula>60</formula>
    </cfRule>
  </conditionalFormatting>
  <conditionalFormatting sqref="B216">
    <cfRule type="cellIs" dxfId="38" priority="18" operator="greaterThan">
      <formula>60</formula>
    </cfRule>
  </conditionalFormatting>
  <conditionalFormatting sqref="B204">
    <cfRule type="cellIs" dxfId="37" priority="17" operator="greaterThan">
      <formula>60</formula>
    </cfRule>
  </conditionalFormatting>
  <conditionalFormatting sqref="B192">
    <cfRule type="cellIs" dxfId="36" priority="16" operator="greaterThan">
      <formula>60</formula>
    </cfRule>
  </conditionalFormatting>
  <conditionalFormatting sqref="B180">
    <cfRule type="cellIs" dxfId="35" priority="15" operator="greaterThan">
      <formula>60</formula>
    </cfRule>
  </conditionalFormatting>
  <conditionalFormatting sqref="B168">
    <cfRule type="cellIs" dxfId="34" priority="14" operator="greaterThan">
      <formula>60</formula>
    </cfRule>
  </conditionalFormatting>
  <conditionalFormatting sqref="B156">
    <cfRule type="cellIs" dxfId="33" priority="13" operator="greaterThan">
      <formula>60</formula>
    </cfRule>
  </conditionalFormatting>
  <conditionalFormatting sqref="B144">
    <cfRule type="cellIs" dxfId="32" priority="12" operator="greaterThan">
      <formula>60</formula>
    </cfRule>
  </conditionalFormatting>
  <conditionalFormatting sqref="B132">
    <cfRule type="cellIs" dxfId="31" priority="11" operator="greaterThan">
      <formula>60</formula>
    </cfRule>
  </conditionalFormatting>
  <conditionalFormatting sqref="B120">
    <cfRule type="cellIs" dxfId="30" priority="10" operator="greaterThan">
      <formula>60</formula>
    </cfRule>
  </conditionalFormatting>
  <conditionalFormatting sqref="B108">
    <cfRule type="cellIs" dxfId="29" priority="9" operator="greaterThan">
      <formula>60</formula>
    </cfRule>
  </conditionalFormatting>
  <conditionalFormatting sqref="B96">
    <cfRule type="cellIs" dxfId="28" priority="8" operator="greaterThan">
      <formula>60</formula>
    </cfRule>
  </conditionalFormatting>
  <conditionalFormatting sqref="B84">
    <cfRule type="cellIs" dxfId="27" priority="7" operator="greaterThan">
      <formula>60</formula>
    </cfRule>
  </conditionalFormatting>
  <conditionalFormatting sqref="B72">
    <cfRule type="cellIs" dxfId="26" priority="6" operator="greaterThan">
      <formula>60</formula>
    </cfRule>
  </conditionalFormatting>
  <conditionalFormatting sqref="B60">
    <cfRule type="cellIs" dxfId="25" priority="5" operator="greaterThan">
      <formula>60</formula>
    </cfRule>
  </conditionalFormatting>
  <conditionalFormatting sqref="B48">
    <cfRule type="cellIs" dxfId="24" priority="4" operator="greaterThan">
      <formula>60</formula>
    </cfRule>
  </conditionalFormatting>
  <conditionalFormatting sqref="B36">
    <cfRule type="cellIs" dxfId="23" priority="3" operator="greaterThan">
      <formula>60</formula>
    </cfRule>
  </conditionalFormatting>
  <conditionalFormatting sqref="B24">
    <cfRule type="cellIs" dxfId="22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20:B227 B208:B215 B196:B203 B184:B191 B172:B179 B160:B167 B148:B155 B136:B143 B124:B131 B112:B119 B100:B107 B88:B95 B76:B83 B64:B71 B52:B59 B40:B47 B28:B35 B16:B23 B4:B11">
      <formula1>0</formula1>
    </dataValidation>
    <dataValidation type="list" allowBlank="1" showInputMessage="1" showErrorMessage="1" sqref="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29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19</v>
      </c>
      <c r="C2" s="164"/>
      <c r="D2" s="157" t="s">
        <v>15</v>
      </c>
      <c r="E2" s="158">
        <v>44729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45" t="s">
        <v>14</v>
      </c>
      <c r="F3" s="246"/>
      <c r="G3" s="46"/>
    </row>
    <row r="4" spans="1:7" s="52" customFormat="1" x14ac:dyDescent="0.3">
      <c r="A4" s="48" t="s">
        <v>4</v>
      </c>
      <c r="B4" s="49">
        <v>36</v>
      </c>
      <c r="C4" s="152" t="str">
        <f xml:space="preserve"> IF(B4="","",setValueToTime(B4))</f>
        <v>3h</v>
      </c>
      <c r="D4" s="166" t="s">
        <v>109</v>
      </c>
      <c r="E4" s="241"/>
      <c r="F4" s="242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3"/>
      <c r="F10" s="23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29</v>
      </c>
      <c r="B12" s="83">
        <f>SUM(B4:B11)</f>
        <v>36</v>
      </c>
      <c r="C12" s="162" t="str">
        <f xml:space="preserve"> setValueToTime(B12)</f>
        <v>3h</v>
      </c>
      <c r="D12" s="121"/>
      <c r="E12" s="243"/>
      <c r="F12" s="24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18</v>
      </c>
      <c r="C14" s="164"/>
      <c r="D14" s="157" t="s">
        <v>15</v>
      </c>
      <c r="E14" s="158">
        <v>44729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45" t="s">
        <v>14</v>
      </c>
      <c r="F15" s="246"/>
      <c r="G15" s="46"/>
    </row>
    <row r="16" spans="1:7" s="52" customFormat="1" ht="40.5" x14ac:dyDescent="0.3">
      <c r="A16" s="48" t="s">
        <v>110</v>
      </c>
      <c r="B16" s="49">
        <v>36</v>
      </c>
      <c r="C16" s="152" t="str">
        <f xml:space="preserve"> IF(B16="","",setValueToTime(B16))</f>
        <v>3h</v>
      </c>
      <c r="D16" s="166" t="s">
        <v>131</v>
      </c>
      <c r="E16" s="241"/>
      <c r="F16" s="242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3"/>
      <c r="F17" s="234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3"/>
      <c r="F18" s="23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3"/>
      <c r="F19" s="23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3"/>
      <c r="F20" s="23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3"/>
      <c r="F21" s="23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3"/>
      <c r="F22" s="23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43"/>
      <c r="F24" s="24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17</v>
      </c>
      <c r="C26" s="164"/>
      <c r="D26" s="157" t="s">
        <v>15</v>
      </c>
      <c r="E26" s="158">
        <v>44727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45" t="s">
        <v>14</v>
      </c>
      <c r="F27" s="246"/>
      <c r="G27" s="46"/>
    </row>
    <row r="28" spans="1:7" s="52" customFormat="1" ht="40.5" x14ac:dyDescent="0.3">
      <c r="A28" s="48" t="s">
        <v>110</v>
      </c>
      <c r="B28" s="49">
        <v>36</v>
      </c>
      <c r="C28" s="152" t="str">
        <f xml:space="preserve"> IF(B28="","",setValueToTime(B28))</f>
        <v>3h</v>
      </c>
      <c r="D28" s="166" t="s">
        <v>130</v>
      </c>
      <c r="E28" s="241"/>
      <c r="F28" s="242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33"/>
      <c r="F29" s="234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3"/>
      <c r="F30" s="23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3"/>
      <c r="F31" s="23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3"/>
      <c r="F32" s="23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3"/>
      <c r="F33" s="23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3"/>
      <c r="F34" s="23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43"/>
      <c r="F36" s="244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16</v>
      </c>
      <c r="C38" s="164"/>
      <c r="D38" s="157" t="s">
        <v>15</v>
      </c>
      <c r="E38" s="158">
        <v>44727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45" t="s">
        <v>14</v>
      </c>
      <c r="F39" s="246"/>
      <c r="G39" s="46"/>
    </row>
    <row r="40" spans="1:7" s="52" customFormat="1" ht="40.5" x14ac:dyDescent="0.3">
      <c r="A40" s="48" t="s">
        <v>100</v>
      </c>
      <c r="B40" s="49">
        <v>45</v>
      </c>
      <c r="C40" s="152" t="str">
        <f xml:space="preserve"> IF(B40="","",setValueToTime(B40))</f>
        <v>3h45min</v>
      </c>
      <c r="D40" s="166" t="s">
        <v>129</v>
      </c>
      <c r="E40" s="241"/>
      <c r="F40" s="242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3"/>
      <c r="F41" s="234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3"/>
      <c r="F42" s="23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3"/>
      <c r="F43" s="23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3"/>
      <c r="F44" s="23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3"/>
      <c r="F45" s="23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3"/>
      <c r="F46" s="23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62" t="s">
        <v>29</v>
      </c>
      <c r="B48" s="83">
        <f>SUM(B40:B47)</f>
        <v>45</v>
      </c>
      <c r="C48" s="162" t="str">
        <f xml:space="preserve"> setValueToTime(B48)</f>
        <v>3h45min</v>
      </c>
      <c r="D48" s="121"/>
      <c r="E48" s="243"/>
      <c r="F48" s="244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15</v>
      </c>
      <c r="C50" s="164"/>
      <c r="D50" s="157" t="s">
        <v>15</v>
      </c>
      <c r="E50" s="158">
        <v>44726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45" t="s">
        <v>14</v>
      </c>
      <c r="F51" s="246"/>
      <c r="G51" s="46"/>
    </row>
    <row r="52" spans="1:7" s="52" customFormat="1" ht="40.5" x14ac:dyDescent="0.3">
      <c r="A52" s="48" t="s">
        <v>100</v>
      </c>
      <c r="B52" s="49">
        <v>36</v>
      </c>
      <c r="C52" s="152" t="str">
        <f xml:space="preserve"> IF(B52="","",setValueToTime(B52))</f>
        <v>3h</v>
      </c>
      <c r="D52" s="166" t="s">
        <v>128</v>
      </c>
      <c r="E52" s="241"/>
      <c r="F52" s="242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33"/>
      <c r="F53" s="234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33"/>
      <c r="F54" s="23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3"/>
      <c r="F55" s="23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3"/>
      <c r="F56" s="23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3"/>
      <c r="F57" s="23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3"/>
      <c r="F58" s="23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43"/>
      <c r="F60" s="244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14</v>
      </c>
      <c r="C62" s="164"/>
      <c r="D62" s="157" t="s">
        <v>15</v>
      </c>
      <c r="E62" s="158">
        <v>44725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45" t="s">
        <v>14</v>
      </c>
      <c r="F63" s="246"/>
      <c r="G63" s="46"/>
    </row>
    <row r="64" spans="1:7" s="52" customFormat="1" ht="40.5" x14ac:dyDescent="0.3">
      <c r="A64" s="48" t="s">
        <v>100</v>
      </c>
      <c r="B64" s="49">
        <v>36</v>
      </c>
      <c r="C64" s="152" t="str">
        <f xml:space="preserve"> IF(B64="","",setValueToTime(B64))</f>
        <v>3h</v>
      </c>
      <c r="D64" s="166" t="s">
        <v>127</v>
      </c>
      <c r="E64" s="241"/>
      <c r="F64" s="242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3"/>
      <c r="F65" s="234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3"/>
      <c r="F66" s="23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3"/>
      <c r="F67" s="23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3"/>
      <c r="F68" s="23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3"/>
      <c r="F69" s="23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3"/>
      <c r="F70" s="23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62" t="s">
        <v>29</v>
      </c>
      <c r="B72" s="83">
        <f>SUM(B64:B71)</f>
        <v>36</v>
      </c>
      <c r="C72" s="162" t="str">
        <f xml:space="preserve"> setValueToTime(B72)</f>
        <v>3h</v>
      </c>
      <c r="D72" s="121"/>
      <c r="E72" s="243"/>
      <c r="F72" s="244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13</v>
      </c>
      <c r="C74" s="164"/>
      <c r="D74" s="157" t="s">
        <v>15</v>
      </c>
      <c r="E74" s="158">
        <v>44725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45" t="s">
        <v>14</v>
      </c>
      <c r="F75" s="246"/>
      <c r="G75" s="46"/>
    </row>
    <row r="76" spans="1:7" s="52" customFormat="1" ht="40.5" x14ac:dyDescent="0.3">
      <c r="A76" s="48" t="s">
        <v>100</v>
      </c>
      <c r="B76" s="49">
        <v>36</v>
      </c>
      <c r="C76" s="152" t="str">
        <f xml:space="preserve"> IF(B76="","",setValueToTime(B76))</f>
        <v>3h</v>
      </c>
      <c r="D76" s="166" t="s">
        <v>126</v>
      </c>
      <c r="E76" s="241"/>
      <c r="F76" s="242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33"/>
      <c r="F77" s="234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33"/>
      <c r="F78" s="23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3"/>
      <c r="F79" s="23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3"/>
      <c r="F80" s="23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3"/>
      <c r="F81" s="23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3"/>
      <c r="F82" s="23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62" t="s">
        <v>29</v>
      </c>
      <c r="B84" s="83">
        <f>SUM(B76:B83)</f>
        <v>36</v>
      </c>
      <c r="C84" s="162" t="str">
        <f xml:space="preserve"> setValueToTime(B84)</f>
        <v>3h</v>
      </c>
      <c r="D84" s="121"/>
      <c r="E84" s="243"/>
      <c r="F84" s="244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12</v>
      </c>
      <c r="C86" s="164"/>
      <c r="D86" s="157" t="s">
        <v>15</v>
      </c>
      <c r="E86" s="158" t="s">
        <v>98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/>
      <c r="D87" s="78" t="s">
        <v>13</v>
      </c>
      <c r="E87" s="245" t="s">
        <v>14</v>
      </c>
      <c r="F87" s="246"/>
      <c r="G87" s="46"/>
    </row>
    <row r="88" spans="1:7" s="52" customFormat="1" ht="27" x14ac:dyDescent="0.3">
      <c r="A88" s="48" t="s">
        <v>93</v>
      </c>
      <c r="B88" s="49">
        <v>36</v>
      </c>
      <c r="C88" s="152" t="str">
        <f xml:space="preserve"> IF(B88="","",setValueToTime(B88))</f>
        <v>3h</v>
      </c>
      <c r="D88" s="166" t="s">
        <v>105</v>
      </c>
      <c r="E88" s="241"/>
      <c r="F88" s="242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33"/>
      <c r="F89" s="23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3"/>
      <c r="F90" s="23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3"/>
      <c r="F91" s="23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3"/>
      <c r="F92" s="23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3"/>
      <c r="F93" s="23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3"/>
      <c r="F94" s="23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62" t="s">
        <v>29</v>
      </c>
      <c r="B96" s="83">
        <f>SUM(B88:B95)</f>
        <v>36</v>
      </c>
      <c r="C96" s="162" t="str">
        <f xml:space="preserve"> setValueToTime(B96)</f>
        <v>3h</v>
      </c>
      <c r="D96" s="121"/>
      <c r="E96" s="243"/>
      <c r="F96" s="244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12</v>
      </c>
      <c r="B98" s="164">
        <v>11</v>
      </c>
      <c r="C98" s="164"/>
      <c r="D98" s="157" t="s">
        <v>15</v>
      </c>
      <c r="E98" s="158" t="s">
        <v>98</v>
      </c>
      <c r="F98" s="159"/>
      <c r="G98" s="46"/>
    </row>
    <row r="99" spans="1:7" s="47" customFormat="1" ht="30" customHeight="1" thickBot="1" x14ac:dyDescent="0.3">
      <c r="A99" s="78" t="s">
        <v>5</v>
      </c>
      <c r="B99" s="161" t="s">
        <v>42</v>
      </c>
      <c r="C99" s="160"/>
      <c r="D99" s="78" t="s">
        <v>13</v>
      </c>
      <c r="E99" s="245" t="s">
        <v>14</v>
      </c>
      <c r="F99" s="246"/>
      <c r="G99" s="46"/>
    </row>
    <row r="100" spans="1:7" s="52" customFormat="1" ht="27" x14ac:dyDescent="0.3">
      <c r="A100" s="48" t="s">
        <v>93</v>
      </c>
      <c r="B100" s="49">
        <v>36</v>
      </c>
      <c r="C100" s="152" t="str">
        <f xml:space="preserve"> IF(B100="","",setValueToTime(B100))</f>
        <v>3h</v>
      </c>
      <c r="D100" s="166" t="s">
        <v>104</v>
      </c>
      <c r="E100" s="241"/>
      <c r="F100" s="242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33"/>
      <c r="F101" s="234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3"/>
      <c r="F102" s="234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3"/>
      <c r="F103" s="234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3"/>
      <c r="F104" s="234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3"/>
      <c r="F105" s="234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3"/>
      <c r="F106" s="234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62" t="s">
        <v>29</v>
      </c>
      <c r="B108" s="83">
        <f>SUM(B100:B107)</f>
        <v>36</v>
      </c>
      <c r="C108" s="162" t="str">
        <f xml:space="preserve"> setValueToTime(B108)</f>
        <v>3h</v>
      </c>
      <c r="D108" s="121"/>
      <c r="E108" s="243"/>
      <c r="F108" s="244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10</v>
      </c>
      <c r="C110" s="164"/>
      <c r="D110" s="157" t="s">
        <v>15</v>
      </c>
      <c r="E110" s="158" t="s">
        <v>83</v>
      </c>
      <c r="F110" s="159"/>
      <c r="G110" s="46"/>
    </row>
    <row r="111" spans="1:7" s="47" customFormat="1" ht="30" customHeight="1" thickBot="1" x14ac:dyDescent="0.3">
      <c r="A111" s="78" t="s">
        <v>5</v>
      </c>
      <c r="B111" s="161" t="s">
        <v>42</v>
      </c>
      <c r="C111" s="160"/>
      <c r="D111" s="78" t="s">
        <v>13</v>
      </c>
      <c r="E111" s="245" t="s">
        <v>14</v>
      </c>
      <c r="F111" s="246"/>
      <c r="G111" s="46"/>
    </row>
    <row r="112" spans="1:7" s="52" customFormat="1" ht="27" x14ac:dyDescent="0.3">
      <c r="A112" s="48" t="s">
        <v>86</v>
      </c>
      <c r="B112" s="49">
        <v>18</v>
      </c>
      <c r="C112" s="152" t="str">
        <f xml:space="preserve"> IF(B112="","",setValueToTime(B112))</f>
        <v>1h30min</v>
      </c>
      <c r="D112" s="166" t="s">
        <v>94</v>
      </c>
      <c r="E112" s="241"/>
      <c r="F112" s="242"/>
      <c r="G112" s="51"/>
    </row>
    <row r="113" spans="1:7" s="52" customFormat="1" ht="27" x14ac:dyDescent="0.3">
      <c r="A113" s="53" t="s">
        <v>93</v>
      </c>
      <c r="B113" s="54">
        <v>18</v>
      </c>
      <c r="C113" s="153" t="str">
        <f t="shared" ref="C113:C119" si="9" xml:space="preserve"> IF(B113="","",setValueToTime(B113))</f>
        <v>1h30min</v>
      </c>
      <c r="D113" s="167" t="s">
        <v>95</v>
      </c>
      <c r="E113" s="233"/>
      <c r="F113" s="234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3"/>
      <c r="F114" s="234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3"/>
      <c r="F115" s="234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3"/>
      <c r="F116" s="234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3"/>
      <c r="F117" s="234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3"/>
      <c r="F118" s="234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62" t="s">
        <v>29</v>
      </c>
      <c r="B120" s="83">
        <f>SUM(B112:B119)</f>
        <v>36</v>
      </c>
      <c r="C120" s="162" t="str">
        <f xml:space="preserve"> setValueToTime(B120)</f>
        <v>3h</v>
      </c>
      <c r="D120" s="121"/>
      <c r="E120" s="243"/>
      <c r="F120" s="244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9</v>
      </c>
      <c r="C122" s="164"/>
      <c r="D122" s="157" t="s">
        <v>15</v>
      </c>
      <c r="E122" s="158" t="s">
        <v>83</v>
      </c>
      <c r="F122" s="159"/>
      <c r="G122" s="46"/>
    </row>
    <row r="123" spans="1:7" s="47" customFormat="1" ht="30" customHeight="1" thickBot="1" x14ac:dyDescent="0.3">
      <c r="A123" s="78" t="s">
        <v>5</v>
      </c>
      <c r="B123" s="161" t="s">
        <v>42</v>
      </c>
      <c r="C123" s="160"/>
      <c r="D123" s="78" t="s">
        <v>13</v>
      </c>
      <c r="E123" s="245" t="s">
        <v>14</v>
      </c>
      <c r="F123" s="246"/>
      <c r="G123" s="46"/>
    </row>
    <row r="124" spans="1:7" s="52" customFormat="1" ht="27" x14ac:dyDescent="0.3">
      <c r="A124" s="48" t="s">
        <v>86</v>
      </c>
      <c r="B124" s="49">
        <v>45</v>
      </c>
      <c r="C124" s="152" t="str">
        <f xml:space="preserve"> IF(B124="","",setValueToTime(B124))</f>
        <v>3h45min</v>
      </c>
      <c r="D124" s="166" t="s">
        <v>92</v>
      </c>
      <c r="E124" s="241"/>
      <c r="F124" s="242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33"/>
      <c r="F125" s="234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3"/>
      <c r="F126" s="234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3"/>
      <c r="F127" s="234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3"/>
      <c r="F128" s="234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3"/>
      <c r="F129" s="234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3"/>
      <c r="F130" s="234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62" t="s">
        <v>29</v>
      </c>
      <c r="B132" s="83">
        <f>SUM(B124:B131)</f>
        <v>45</v>
      </c>
      <c r="C132" s="162" t="str">
        <f xml:space="preserve"> setValueToTime(B132)</f>
        <v>3h45min</v>
      </c>
      <c r="D132" s="121"/>
      <c r="E132" s="243"/>
      <c r="F132" s="244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8</v>
      </c>
      <c r="C134" s="164"/>
      <c r="D134" s="157" t="s">
        <v>15</v>
      </c>
      <c r="E134" s="158" t="s">
        <v>81</v>
      </c>
      <c r="F134" s="159"/>
      <c r="G134" s="46"/>
    </row>
    <row r="135" spans="1:7" s="47" customFormat="1" ht="30" customHeight="1" thickBot="1" x14ac:dyDescent="0.3">
      <c r="A135" s="78" t="s">
        <v>5</v>
      </c>
      <c r="B135" s="161" t="s">
        <v>42</v>
      </c>
      <c r="C135" s="160"/>
      <c r="D135" s="78" t="s">
        <v>13</v>
      </c>
      <c r="E135" s="245" t="s">
        <v>14</v>
      </c>
      <c r="F135" s="246"/>
      <c r="G135" s="46"/>
    </row>
    <row r="136" spans="1:7" s="52" customFormat="1" ht="27" x14ac:dyDescent="0.3">
      <c r="A136" s="48" t="s">
        <v>48</v>
      </c>
      <c r="B136" s="49">
        <v>30</v>
      </c>
      <c r="C136" s="152" t="str">
        <f xml:space="preserve"> IF(B136="","",setValueToTime(B136))</f>
        <v>2h30min</v>
      </c>
      <c r="D136" s="166" t="s">
        <v>84</v>
      </c>
      <c r="E136" s="241"/>
      <c r="F136" s="242"/>
      <c r="G136" s="51"/>
    </row>
    <row r="137" spans="1:7" s="52" customFormat="1" ht="27" x14ac:dyDescent="0.3">
      <c r="A137" s="53" t="s">
        <v>86</v>
      </c>
      <c r="B137" s="54">
        <v>6</v>
      </c>
      <c r="C137" s="153" t="str">
        <f t="shared" ref="C137:C143" si="11" xml:space="preserve"> IF(B137="","",setValueToTime(B137))</f>
        <v>0h30min</v>
      </c>
      <c r="D137" s="167" t="s">
        <v>85</v>
      </c>
      <c r="E137" s="233"/>
      <c r="F137" s="234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3"/>
      <c r="F138" s="234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3"/>
      <c r="F139" s="234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3"/>
      <c r="F140" s="234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3"/>
      <c r="F141" s="234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3"/>
      <c r="F142" s="234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62" t="s">
        <v>29</v>
      </c>
      <c r="B144" s="83">
        <f>SUM(B136:B143)</f>
        <v>36</v>
      </c>
      <c r="C144" s="162" t="str">
        <f xml:space="preserve"> setValueToTime(B144)</f>
        <v>3h</v>
      </c>
      <c r="D144" s="121"/>
      <c r="E144" s="243"/>
      <c r="F144" s="244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7</v>
      </c>
      <c r="C146" s="164"/>
      <c r="D146" s="157" t="s">
        <v>15</v>
      </c>
      <c r="E146" s="158" t="s">
        <v>64</v>
      </c>
      <c r="F146" s="159"/>
      <c r="G146" s="46"/>
    </row>
    <row r="147" spans="1:7" s="47" customFormat="1" ht="30" customHeight="1" thickBot="1" x14ac:dyDescent="0.3">
      <c r="A147" s="78" t="s">
        <v>5</v>
      </c>
      <c r="B147" s="161" t="s">
        <v>42</v>
      </c>
      <c r="C147" s="160"/>
      <c r="D147" s="78" t="s">
        <v>13</v>
      </c>
      <c r="E147" s="245" t="s">
        <v>14</v>
      </c>
      <c r="F147" s="246"/>
      <c r="G147" s="46"/>
    </row>
    <row r="148" spans="1:7" s="52" customFormat="1" ht="40.5" x14ac:dyDescent="0.3">
      <c r="A148" s="48" t="s">
        <v>49</v>
      </c>
      <c r="B148" s="49">
        <v>36</v>
      </c>
      <c r="C148" s="152" t="str">
        <f xml:space="preserve"> IF(B148="","",setValueToTime(B148))</f>
        <v>3h</v>
      </c>
      <c r="D148" s="166" t="s">
        <v>80</v>
      </c>
      <c r="E148" s="241"/>
      <c r="F148" s="242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3"/>
      <c r="F149" s="234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3"/>
      <c r="F150" s="234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3"/>
      <c r="F151" s="234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3"/>
      <c r="F152" s="234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3"/>
      <c r="F153" s="234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3"/>
      <c r="F154" s="234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62" t="s">
        <v>29</v>
      </c>
      <c r="B156" s="83">
        <f>SUM(B148:B155)</f>
        <v>36</v>
      </c>
      <c r="C156" s="162" t="str">
        <f xml:space="preserve"> setValueToTime(B156)</f>
        <v>3h</v>
      </c>
      <c r="D156" s="121"/>
      <c r="E156" s="243"/>
      <c r="F156" s="244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6</v>
      </c>
      <c r="C158" s="164"/>
      <c r="D158" s="157" t="s">
        <v>15</v>
      </c>
      <c r="E158" s="158" t="s">
        <v>64</v>
      </c>
      <c r="F158" s="159"/>
      <c r="G158" s="46"/>
    </row>
    <row r="159" spans="1:7" s="47" customFormat="1" ht="30" customHeight="1" thickBot="1" x14ac:dyDescent="0.3">
      <c r="A159" s="78" t="s">
        <v>5</v>
      </c>
      <c r="B159" s="161" t="s">
        <v>42</v>
      </c>
      <c r="C159" s="160"/>
      <c r="D159" s="78" t="s">
        <v>13</v>
      </c>
      <c r="E159" s="245" t="s">
        <v>14</v>
      </c>
      <c r="F159" s="246"/>
      <c r="G159" s="46"/>
    </row>
    <row r="160" spans="1:7" s="52" customFormat="1" ht="27" x14ac:dyDescent="0.3">
      <c r="A160" s="48" t="s">
        <v>47</v>
      </c>
      <c r="B160" s="49">
        <v>18</v>
      </c>
      <c r="C160" s="152" t="str">
        <f xml:space="preserve"> IF(B160="","",setValueToTime(B160))</f>
        <v>1h30min</v>
      </c>
      <c r="D160" s="166" t="s">
        <v>74</v>
      </c>
      <c r="E160" s="241"/>
      <c r="F160" s="242"/>
      <c r="G160" s="51"/>
    </row>
    <row r="161" spans="1:7" s="52" customFormat="1" ht="27" x14ac:dyDescent="0.3">
      <c r="A161" s="53" t="s">
        <v>48</v>
      </c>
      <c r="B161" s="54">
        <v>18</v>
      </c>
      <c r="C161" s="153" t="str">
        <f t="shared" ref="C161:C167" si="13" xml:space="preserve"> IF(B161="","",setValueToTime(B161))</f>
        <v>1h30min</v>
      </c>
      <c r="D161" s="167" t="s">
        <v>75</v>
      </c>
      <c r="E161" s="233"/>
      <c r="F161" s="234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3"/>
      <c r="F162" s="234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3"/>
      <c r="F163" s="234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3"/>
      <c r="F164" s="234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3"/>
      <c r="F165" s="234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3"/>
      <c r="F166" s="234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62" t="s">
        <v>29</v>
      </c>
      <c r="B168" s="83">
        <f>SUM(B160:B167)</f>
        <v>36</v>
      </c>
      <c r="C168" s="162" t="str">
        <f xml:space="preserve"> setValueToTime(B168)</f>
        <v>3h</v>
      </c>
      <c r="D168" s="121"/>
      <c r="E168" s="243"/>
      <c r="F168" s="244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12</v>
      </c>
      <c r="B170" s="164">
        <v>5</v>
      </c>
      <c r="C170" s="164"/>
      <c r="D170" s="157" t="s">
        <v>15</v>
      </c>
      <c r="E170" s="158" t="s">
        <v>63</v>
      </c>
      <c r="F170" s="159"/>
      <c r="G170" s="46"/>
    </row>
    <row r="171" spans="1:7" s="47" customFormat="1" ht="30" customHeight="1" thickBot="1" x14ac:dyDescent="0.3">
      <c r="A171" s="78" t="s">
        <v>5</v>
      </c>
      <c r="B171" s="161" t="s">
        <v>42</v>
      </c>
      <c r="C171" s="160"/>
      <c r="D171" s="78" t="s">
        <v>13</v>
      </c>
      <c r="E171" s="245" t="s">
        <v>14</v>
      </c>
      <c r="F171" s="246"/>
      <c r="G171" s="46"/>
    </row>
    <row r="172" spans="1:7" s="52" customFormat="1" ht="27" x14ac:dyDescent="0.3">
      <c r="A172" s="48" t="s">
        <v>33</v>
      </c>
      <c r="B172" s="49">
        <v>18</v>
      </c>
      <c r="C172" s="152" t="str">
        <f xml:space="preserve"> IF(B172="","",setValueToTime(B172))</f>
        <v>1h30min</v>
      </c>
      <c r="D172" s="166" t="s">
        <v>72</v>
      </c>
      <c r="E172" s="241"/>
      <c r="F172" s="242"/>
      <c r="G172" s="51"/>
    </row>
    <row r="173" spans="1:7" s="52" customFormat="1" ht="40.5" x14ac:dyDescent="0.3">
      <c r="A173" s="53" t="s">
        <v>54</v>
      </c>
      <c r="B173" s="54">
        <v>18</v>
      </c>
      <c r="C173" s="153" t="str">
        <f t="shared" ref="C173:C179" si="14" xml:space="preserve"> IF(B173="","",setValueToTime(B173))</f>
        <v>1h30min</v>
      </c>
      <c r="D173" s="167" t="s">
        <v>73</v>
      </c>
      <c r="E173" s="233"/>
      <c r="F173" s="234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3"/>
      <c r="F174" s="234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3"/>
      <c r="F175" s="234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3"/>
      <c r="F176" s="234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3"/>
      <c r="F177" s="234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3"/>
      <c r="F178" s="234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62" t="s">
        <v>29</v>
      </c>
      <c r="B180" s="83">
        <f>SUM(B172:B179)</f>
        <v>36</v>
      </c>
      <c r="C180" s="162" t="str">
        <f xml:space="preserve"> setValueToTime(B180)</f>
        <v>3h</v>
      </c>
      <c r="D180" s="121"/>
      <c r="E180" s="243"/>
      <c r="F180" s="244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12</v>
      </c>
      <c r="B182" s="164">
        <v>4</v>
      </c>
      <c r="C182" s="164"/>
      <c r="D182" s="157" t="s">
        <v>15</v>
      </c>
      <c r="E182" s="158" t="s">
        <v>63</v>
      </c>
      <c r="F182" s="159"/>
      <c r="G182" s="46"/>
    </row>
    <row r="183" spans="1:7" s="47" customFormat="1" ht="30" customHeight="1" thickBot="1" x14ac:dyDescent="0.3">
      <c r="A183" s="78" t="s">
        <v>5</v>
      </c>
      <c r="B183" s="161" t="s">
        <v>42</v>
      </c>
      <c r="C183" s="160"/>
      <c r="D183" s="78" t="s">
        <v>13</v>
      </c>
      <c r="E183" s="245" t="s">
        <v>14</v>
      </c>
      <c r="F183" s="246"/>
      <c r="G183" s="46"/>
    </row>
    <row r="184" spans="1:7" s="52" customFormat="1" ht="27" x14ac:dyDescent="0.3">
      <c r="A184" s="48" t="s">
        <v>46</v>
      </c>
      <c r="B184" s="49">
        <v>18</v>
      </c>
      <c r="C184" s="152" t="str">
        <f xml:space="preserve"> IF(B184="","",setValueToTime(B184))</f>
        <v>1h30min</v>
      </c>
      <c r="D184" s="166" t="s">
        <v>69</v>
      </c>
      <c r="E184" s="241"/>
      <c r="F184" s="242"/>
      <c r="G184" s="51"/>
    </row>
    <row r="185" spans="1:7" s="52" customFormat="1" ht="27" x14ac:dyDescent="0.3">
      <c r="A185" s="53" t="s">
        <v>33</v>
      </c>
      <c r="B185" s="54">
        <v>18</v>
      </c>
      <c r="C185" s="153" t="str">
        <f t="shared" ref="C185:C191" si="15" xml:space="preserve"> IF(B185="","",setValueToTime(B185))</f>
        <v>1h30min</v>
      </c>
      <c r="D185" s="167" t="s">
        <v>70</v>
      </c>
      <c r="E185" s="233"/>
      <c r="F185" s="234"/>
      <c r="G185" s="51"/>
    </row>
    <row r="186" spans="1:7" s="52" customFormat="1" ht="27" x14ac:dyDescent="0.3">
      <c r="A186" s="53" t="s">
        <v>33</v>
      </c>
      <c r="B186" s="54">
        <v>9</v>
      </c>
      <c r="C186" s="153" t="str">
        <f t="shared" si="15"/>
        <v>0h45min</v>
      </c>
      <c r="D186" s="167" t="s">
        <v>71</v>
      </c>
      <c r="E186" s="233"/>
      <c r="F186" s="234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3"/>
      <c r="F187" s="234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3"/>
      <c r="F188" s="234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3"/>
      <c r="F189" s="234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3"/>
      <c r="F190" s="234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62" t="s">
        <v>29</v>
      </c>
      <c r="B192" s="83">
        <f>SUM(B184:B191)</f>
        <v>45</v>
      </c>
      <c r="C192" s="162" t="str">
        <f xml:space="preserve"> setValueToTime(B192)</f>
        <v>3h45min</v>
      </c>
      <c r="D192" s="121"/>
      <c r="E192" s="243"/>
      <c r="F192" s="244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12</v>
      </c>
      <c r="B194" s="164">
        <v>3</v>
      </c>
      <c r="C194" s="164"/>
      <c r="D194" s="157" t="s">
        <v>15</v>
      </c>
      <c r="E194" s="158" t="s">
        <v>62</v>
      </c>
      <c r="F194" s="159"/>
      <c r="G194" s="46"/>
    </row>
    <row r="195" spans="1:7" s="47" customFormat="1" ht="30" customHeight="1" thickBot="1" x14ac:dyDescent="0.3">
      <c r="A195" s="78" t="s">
        <v>5</v>
      </c>
      <c r="B195" s="161" t="s">
        <v>42</v>
      </c>
      <c r="C195" s="160"/>
      <c r="D195" s="78" t="s">
        <v>13</v>
      </c>
      <c r="E195" s="245" t="s">
        <v>14</v>
      </c>
      <c r="F195" s="246"/>
      <c r="G195" s="46"/>
    </row>
    <row r="196" spans="1:7" s="52" customFormat="1" ht="40.5" x14ac:dyDescent="0.3">
      <c r="A196" s="48" t="s">
        <v>54</v>
      </c>
      <c r="B196" s="49">
        <v>36</v>
      </c>
      <c r="C196" s="152" t="str">
        <f xml:space="preserve"> IF(B196="","",setValueToTime(B196))</f>
        <v>3h</v>
      </c>
      <c r="D196" s="166" t="s">
        <v>68</v>
      </c>
      <c r="E196" s="241"/>
      <c r="F196" s="242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33"/>
      <c r="F197" s="234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33"/>
      <c r="F198" s="234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3"/>
      <c r="F199" s="234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3"/>
      <c r="F200" s="234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3"/>
      <c r="F201" s="234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3"/>
      <c r="F202" s="234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5"/>
      <c r="F203" s="236"/>
      <c r="G203" s="51"/>
    </row>
    <row r="204" spans="1:7" s="52" customFormat="1" ht="15" thickBot="1" x14ac:dyDescent="0.35">
      <c r="A204" s="162" t="s">
        <v>29</v>
      </c>
      <c r="B204" s="83">
        <f>SUM(B196:B203)</f>
        <v>36</v>
      </c>
      <c r="C204" s="162" t="str">
        <f xml:space="preserve"> setValueToTime(B204)</f>
        <v>3h</v>
      </c>
      <c r="D204" s="121"/>
      <c r="E204" s="243"/>
      <c r="F204" s="244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12</v>
      </c>
      <c r="B206" s="164">
        <v>2</v>
      </c>
      <c r="C206" s="164"/>
      <c r="D206" s="157" t="s">
        <v>15</v>
      </c>
      <c r="E206" s="158" t="s">
        <v>61</v>
      </c>
      <c r="F206" s="159"/>
      <c r="G206" s="46"/>
    </row>
    <row r="207" spans="1:7" s="47" customFormat="1" ht="30" customHeight="1" thickBot="1" x14ac:dyDescent="0.3">
      <c r="A207" s="78" t="s">
        <v>5</v>
      </c>
      <c r="B207" s="161" t="s">
        <v>42</v>
      </c>
      <c r="C207" s="160"/>
      <c r="D207" s="78" t="s">
        <v>13</v>
      </c>
      <c r="E207" s="245" t="s">
        <v>14</v>
      </c>
      <c r="F207" s="246"/>
      <c r="G207" s="46"/>
    </row>
    <row r="208" spans="1:7" s="52" customFormat="1" ht="27" x14ac:dyDescent="0.3">
      <c r="A208" s="48" t="s">
        <v>33</v>
      </c>
      <c r="B208" s="49">
        <v>36</v>
      </c>
      <c r="C208" s="152" t="str">
        <f xml:space="preserve"> IF(B208="","",setValueToTime(B208))</f>
        <v>3h</v>
      </c>
      <c r="D208" s="166" t="s">
        <v>67</v>
      </c>
      <c r="E208" s="241"/>
      <c r="F208" s="242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33"/>
      <c r="F209" s="234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33"/>
      <c r="F210" s="234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3"/>
      <c r="F211" s="234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3"/>
      <c r="F212" s="234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3"/>
      <c r="F213" s="234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3"/>
      <c r="F214" s="234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62" t="s">
        <v>29</v>
      </c>
      <c r="B216" s="83">
        <f>SUM(B208:B215)</f>
        <v>36</v>
      </c>
      <c r="C216" s="162" t="str">
        <f xml:space="preserve"> setValueToTime(B216)</f>
        <v>3h</v>
      </c>
      <c r="D216" s="121"/>
      <c r="E216" s="243"/>
      <c r="F216" s="244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12</v>
      </c>
      <c r="B218" s="164">
        <v>1</v>
      </c>
      <c r="C218" s="164"/>
      <c r="D218" s="157" t="s">
        <v>15</v>
      </c>
      <c r="E218" s="158" t="s">
        <v>61</v>
      </c>
      <c r="F218" s="159"/>
      <c r="G218" s="46"/>
    </row>
    <row r="219" spans="1:7" s="47" customFormat="1" ht="30" customHeight="1" thickBot="1" x14ac:dyDescent="0.3">
      <c r="A219" s="78" t="s">
        <v>5</v>
      </c>
      <c r="B219" s="161" t="s">
        <v>42</v>
      </c>
      <c r="C219" s="160"/>
      <c r="D219" s="78" t="s">
        <v>13</v>
      </c>
      <c r="E219" s="245" t="s">
        <v>14</v>
      </c>
      <c r="F219" s="246"/>
      <c r="G219" s="46"/>
    </row>
    <row r="220" spans="1:7" s="52" customFormat="1" x14ac:dyDescent="0.3">
      <c r="A220" s="48" t="s">
        <v>4</v>
      </c>
      <c r="B220" s="49">
        <v>18</v>
      </c>
      <c r="C220" s="152" t="str">
        <f xml:space="preserve"> IF(B220="","",setValueToTime(B220))</f>
        <v>1h30min</v>
      </c>
      <c r="D220" s="166" t="s">
        <v>65</v>
      </c>
      <c r="E220" s="241"/>
      <c r="F220" s="242"/>
      <c r="G220" s="51"/>
    </row>
    <row r="221" spans="1:7" s="52" customFormat="1" ht="27" x14ac:dyDescent="0.3">
      <c r="A221" s="53" t="s">
        <v>33</v>
      </c>
      <c r="B221" s="54">
        <v>18</v>
      </c>
      <c r="C221" s="153" t="str">
        <f t="shared" ref="C221:C227" si="18" xml:space="preserve"> IF(B221="","",setValueToTime(B221))</f>
        <v>1h30min</v>
      </c>
      <c r="D221" s="167" t="s">
        <v>66</v>
      </c>
      <c r="E221" s="233"/>
      <c r="F221" s="234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33"/>
      <c r="F222" s="234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3"/>
      <c r="F223" s="234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3"/>
      <c r="F224" s="234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3"/>
      <c r="F225" s="234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3"/>
      <c r="F226" s="234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62" t="s">
        <v>29</v>
      </c>
      <c r="B228" s="83">
        <f>SUM(B220:B227)</f>
        <v>36</v>
      </c>
      <c r="C228" s="162" t="str">
        <f xml:space="preserve"> setValueToTime(B228)</f>
        <v>3h</v>
      </c>
      <c r="D228" s="121"/>
      <c r="E228" s="243"/>
      <c r="F228" s="244"/>
      <c r="G228" s="51"/>
    </row>
    <row r="229" spans="1:7" s="59" customFormat="1" x14ac:dyDescent="0.3">
      <c r="A229" s="77"/>
      <c r="B229" s="77"/>
      <c r="C229" s="77"/>
      <c r="D229" s="77"/>
      <c r="E229" s="77"/>
      <c r="F229" s="77"/>
      <c r="G229" s="58"/>
    </row>
  </sheetData>
  <sheetProtection formatRows="0" insertRows="0" insertHyperlinks="0" deleteRows="0" selectLockedCells="1"/>
  <mergeCells count="19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95:F95"/>
    <mergeCell ref="E72:F72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132:F132"/>
    <mergeCell ref="E120:F120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2:F92"/>
    <mergeCell ref="E93:F93"/>
    <mergeCell ref="E94:F9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201:F201"/>
    <mergeCell ref="E202:F202"/>
    <mergeCell ref="E203:F203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9:F219"/>
    <mergeCell ref="E220:F220"/>
    <mergeCell ref="E221:F221"/>
    <mergeCell ref="E222:F222"/>
    <mergeCell ref="E223:F223"/>
    <mergeCell ref="E224:F224"/>
    <mergeCell ref="E213:F213"/>
    <mergeCell ref="E214:F214"/>
    <mergeCell ref="E215:F215"/>
    <mergeCell ref="E216:F216"/>
    <mergeCell ref="E179:F179"/>
    <mergeCell ref="E180:F180"/>
    <mergeCell ref="E171:F171"/>
    <mergeCell ref="E172:F172"/>
    <mergeCell ref="E173:F173"/>
    <mergeCell ref="E174:F174"/>
    <mergeCell ref="E175:F175"/>
    <mergeCell ref="E204:F204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95:F195"/>
    <mergeCell ref="E196:F196"/>
    <mergeCell ref="E197:F197"/>
    <mergeCell ref="E198:F198"/>
    <mergeCell ref="E199:F199"/>
    <mergeCell ref="E200:F200"/>
    <mergeCell ref="E163:F163"/>
    <mergeCell ref="E176:F176"/>
    <mergeCell ref="E164:F164"/>
    <mergeCell ref="E166:F166"/>
    <mergeCell ref="E167:F167"/>
    <mergeCell ref="E168:F168"/>
    <mergeCell ref="E165:F165"/>
    <mergeCell ref="E177:F177"/>
    <mergeCell ref="E178:F178"/>
    <mergeCell ref="E149:F149"/>
    <mergeCell ref="E150:F150"/>
    <mergeCell ref="E151:F151"/>
    <mergeCell ref="E135:F135"/>
    <mergeCell ref="E136:F136"/>
    <mergeCell ref="E137:F137"/>
    <mergeCell ref="E160:F160"/>
    <mergeCell ref="E161:F161"/>
    <mergeCell ref="E162:F162"/>
    <mergeCell ref="E138:F138"/>
    <mergeCell ref="E139:F139"/>
    <mergeCell ref="E140:F140"/>
    <mergeCell ref="E141:F141"/>
    <mergeCell ref="E142:F142"/>
    <mergeCell ref="E143:F143"/>
    <mergeCell ref="E144:F144"/>
    <mergeCell ref="E96:F96"/>
    <mergeCell ref="E87:F87"/>
    <mergeCell ref="E88:F88"/>
    <mergeCell ref="E89:F89"/>
    <mergeCell ref="E90:F90"/>
    <mergeCell ref="E91:F91"/>
    <mergeCell ref="E159:F159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52:F152"/>
    <mergeCell ref="E153:F153"/>
    <mergeCell ref="E154:F154"/>
    <mergeCell ref="E155:F155"/>
    <mergeCell ref="E156:F156"/>
    <mergeCell ref="E147:F147"/>
    <mergeCell ref="E148:F148"/>
  </mergeCells>
  <phoneticPr fontId="0" type="noConversion"/>
  <conditionalFormatting sqref="B228">
    <cfRule type="cellIs" dxfId="21" priority="19" operator="greaterThan">
      <formula>60</formula>
    </cfRule>
  </conditionalFormatting>
  <conditionalFormatting sqref="B216">
    <cfRule type="cellIs" dxfId="20" priority="18" operator="greaterThan">
      <formula>60</formula>
    </cfRule>
  </conditionalFormatting>
  <conditionalFormatting sqref="B204">
    <cfRule type="cellIs" dxfId="19" priority="17" operator="greaterThan">
      <formula>60</formula>
    </cfRule>
  </conditionalFormatting>
  <conditionalFormatting sqref="B192">
    <cfRule type="cellIs" dxfId="18" priority="16" operator="greaterThan">
      <formula>60</formula>
    </cfRule>
  </conditionalFormatting>
  <conditionalFormatting sqref="B180">
    <cfRule type="cellIs" dxfId="17" priority="15" operator="greaterThan">
      <formula>60</formula>
    </cfRule>
  </conditionalFormatting>
  <conditionalFormatting sqref="B168">
    <cfRule type="cellIs" dxfId="16" priority="14" operator="greaterThan">
      <formula>60</formula>
    </cfRule>
  </conditionalFormatting>
  <conditionalFormatting sqref="B156">
    <cfRule type="cellIs" dxfId="15" priority="13" operator="greaterThan">
      <formula>60</formula>
    </cfRule>
  </conditionalFormatting>
  <conditionalFormatting sqref="B144">
    <cfRule type="cellIs" dxfId="14" priority="12" operator="greaterThan">
      <formula>60</formula>
    </cfRule>
  </conditionalFormatting>
  <conditionalFormatting sqref="B132">
    <cfRule type="cellIs" dxfId="13" priority="11" operator="greaterThan">
      <formula>60</formula>
    </cfRule>
  </conditionalFormatting>
  <conditionalFormatting sqref="B120">
    <cfRule type="cellIs" dxfId="12" priority="10" operator="greaterThan">
      <formula>60</formula>
    </cfRule>
  </conditionalFormatting>
  <conditionalFormatting sqref="B108">
    <cfRule type="cellIs" dxfId="11" priority="9" operator="greaterThan">
      <formula>60</formula>
    </cfRule>
  </conditionalFormatting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28 B216 B204 B192 B180 B168 B156 B144 B132 B120 B108 B96 B84 B72 B60 B48 B36 B24 B12">
      <formula1>0</formula1>
      <formula2>60</formula2>
    </dataValidation>
    <dataValidation type="list" allowBlank="1" showInputMessage="1" showErrorMessage="1" sqref="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1"/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90"/>
    </row>
    <row r="11" spans="1:61" ht="18" x14ac:dyDescent="0.25">
      <c r="A11" s="202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90"/>
    </row>
    <row r="12" spans="1:61" ht="18.75" thickBot="1" x14ac:dyDescent="0.3">
      <c r="A12" s="203"/>
      <c r="B12" s="203"/>
      <c r="C12" s="203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90"/>
    </row>
    <row r="13" spans="1:61" ht="18.75" thickBot="1" x14ac:dyDescent="0.3">
      <c r="A13" s="204" t="s">
        <v>12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6"/>
      <c r="BI13" s="90"/>
    </row>
    <row r="14" spans="1:61" ht="15.75" thickBot="1" x14ac:dyDescent="0.35">
      <c r="A14" s="103"/>
      <c r="B14" s="104"/>
      <c r="C14" s="104"/>
      <c r="D14" s="104"/>
      <c r="E14" s="207" t="s">
        <v>36</v>
      </c>
      <c r="F14" s="207"/>
      <c r="G14" s="207"/>
      <c r="H14" s="207"/>
      <c r="I14" s="104"/>
      <c r="J14" s="104"/>
      <c r="K14" s="208" t="s">
        <v>24</v>
      </c>
      <c r="L14" s="208"/>
      <c r="M14" s="208"/>
      <c r="N14" s="208"/>
      <c r="O14" s="129"/>
      <c r="P14" s="129"/>
      <c r="Q14" s="207" t="s">
        <v>37</v>
      </c>
      <c r="R14" s="207"/>
      <c r="S14" s="207"/>
      <c r="T14" s="207"/>
      <c r="U14" s="104"/>
      <c r="V14" s="104"/>
      <c r="W14" s="208" t="s">
        <v>25</v>
      </c>
      <c r="X14" s="208"/>
      <c r="Y14" s="208"/>
      <c r="Z14" s="208"/>
      <c r="AA14" s="129"/>
      <c r="AB14" s="129"/>
      <c r="AC14" s="207" t="s">
        <v>38</v>
      </c>
      <c r="AD14" s="207"/>
      <c r="AE14" s="207"/>
      <c r="AF14" s="207"/>
      <c r="AG14" s="104"/>
      <c r="AH14" s="104"/>
      <c r="AI14" s="208" t="s">
        <v>26</v>
      </c>
      <c r="AJ14" s="208"/>
      <c r="AK14" s="208"/>
      <c r="AL14" s="208"/>
      <c r="AM14" s="129"/>
      <c r="AN14" s="129"/>
      <c r="AO14" s="207" t="s">
        <v>39</v>
      </c>
      <c r="AP14" s="207"/>
      <c r="AQ14" s="207"/>
      <c r="AR14" s="207"/>
      <c r="AS14" s="104"/>
      <c r="AT14" s="104"/>
      <c r="AU14" s="208" t="s">
        <v>27</v>
      </c>
      <c r="AV14" s="208"/>
      <c r="AW14" s="208"/>
      <c r="AX14" s="208"/>
      <c r="AY14" s="129"/>
      <c r="AZ14" s="129"/>
      <c r="BA14" s="207" t="s">
        <v>40</v>
      </c>
      <c r="BB14" s="207"/>
      <c r="BC14" s="207"/>
      <c r="BD14" s="20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9" t="s">
        <v>14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1"/>
      <c r="F3" s="24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3"/>
      <c r="F4" s="23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37"/>
      <c r="F11" s="23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45" t="s">
        <v>14</v>
      </c>
      <c r="F2" s="24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1"/>
      <c r="F3" s="24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3"/>
      <c r="F4" s="23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3"/>
      <c r="F5" s="23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3"/>
      <c r="F6" s="23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3"/>
      <c r="F7" s="23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3"/>
      <c r="F8" s="23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3"/>
      <c r="F9" s="23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43"/>
      <c r="F11" s="24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2022-06-17T06:20:59Z</dcterms:modified>
</cp:coreProperties>
</file>