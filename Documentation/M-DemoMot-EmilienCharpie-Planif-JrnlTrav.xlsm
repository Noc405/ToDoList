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09-Outils\UwAmp-PHP8\www\ToDoList\Documentation\"/>
    </mc:Choice>
  </mc:AlternateContent>
  <bookViews>
    <workbookView xWindow="0" yWindow="0" windowWidth="28800" windowHeight="11700" activeTab="2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</workbook>
</file>

<file path=xl/calcChain.xml><?xml version="1.0" encoding="utf-8"?>
<calcChain xmlns="http://schemas.openxmlformats.org/spreadsheetml/2006/main">
  <c r="B12" i="10" l="1"/>
  <c r="C11" i="10"/>
  <c r="C10" i="10"/>
  <c r="C9" i="10"/>
  <c r="C8" i="10"/>
  <c r="C7" i="10"/>
  <c r="C6" i="10"/>
  <c r="C5" i="10"/>
  <c r="C4" i="10"/>
  <c r="C12" i="10"/>
  <c r="B12" i="12" l="1"/>
  <c r="C11" i="12"/>
  <c r="C10" i="12"/>
  <c r="C9" i="12"/>
  <c r="C8" i="12"/>
  <c r="C7" i="12"/>
  <c r="C6" i="12"/>
  <c r="C5" i="12"/>
  <c r="B24" i="12"/>
  <c r="C23" i="12"/>
  <c r="C22" i="12"/>
  <c r="C21" i="12"/>
  <c r="C20" i="12"/>
  <c r="C19" i="12"/>
  <c r="C18" i="12"/>
  <c r="B36" i="12"/>
  <c r="C35" i="12"/>
  <c r="C34" i="12"/>
  <c r="C33" i="12"/>
  <c r="C32" i="12"/>
  <c r="C31" i="12"/>
  <c r="C30" i="12"/>
  <c r="B48" i="12"/>
  <c r="C47" i="12"/>
  <c r="C46" i="12"/>
  <c r="C45" i="12"/>
  <c r="C44" i="12"/>
  <c r="C43" i="12"/>
  <c r="B60" i="12"/>
  <c r="C59" i="12"/>
  <c r="C58" i="12"/>
  <c r="C57" i="12"/>
  <c r="C56" i="12"/>
  <c r="C55" i="12"/>
  <c r="C54" i="12"/>
  <c r="C53" i="12"/>
  <c r="B72" i="12"/>
  <c r="C71" i="12"/>
  <c r="C70" i="12"/>
  <c r="C69" i="12"/>
  <c r="C68" i="12"/>
  <c r="C67" i="12"/>
  <c r="C66" i="12"/>
  <c r="C65" i="12"/>
  <c r="B84" i="12"/>
  <c r="C83" i="12"/>
  <c r="C82" i="12"/>
  <c r="C81" i="12"/>
  <c r="C80" i="12"/>
  <c r="C79" i="12"/>
  <c r="C78" i="12"/>
  <c r="B24" i="10"/>
  <c r="C23" i="10"/>
  <c r="C22" i="10"/>
  <c r="C21" i="10"/>
  <c r="C20" i="10"/>
  <c r="C19" i="10"/>
  <c r="C18" i="10"/>
  <c r="C17" i="10"/>
  <c r="B36" i="10"/>
  <c r="C35" i="10"/>
  <c r="C34" i="10"/>
  <c r="C33" i="10"/>
  <c r="C32" i="10"/>
  <c r="C31" i="10"/>
  <c r="C30" i="10"/>
  <c r="C29" i="10"/>
  <c r="B48" i="10"/>
  <c r="C47" i="10"/>
  <c r="C46" i="10"/>
  <c r="C45" i="10"/>
  <c r="C44" i="10"/>
  <c r="C43" i="10"/>
  <c r="C42" i="10"/>
  <c r="C41" i="10"/>
  <c r="B60" i="10"/>
  <c r="C59" i="10"/>
  <c r="C58" i="10"/>
  <c r="C57" i="10"/>
  <c r="C56" i="10"/>
  <c r="C55" i="10"/>
  <c r="C54" i="10"/>
  <c r="B72" i="10"/>
  <c r="C71" i="10"/>
  <c r="C70" i="10"/>
  <c r="C69" i="10"/>
  <c r="C68" i="10"/>
  <c r="C67" i="10"/>
  <c r="C66" i="10"/>
  <c r="B84" i="10"/>
  <c r="C83" i="10"/>
  <c r="C82" i="10"/>
  <c r="C81" i="10"/>
  <c r="C80" i="10"/>
  <c r="C79" i="10"/>
  <c r="C78" i="10"/>
  <c r="C77" i="10"/>
  <c r="B96" i="10"/>
  <c r="C95" i="10"/>
  <c r="C94" i="10"/>
  <c r="C93" i="10"/>
  <c r="C92" i="10"/>
  <c r="C91" i="10"/>
  <c r="C90" i="10"/>
  <c r="C4" i="12"/>
  <c r="C28" i="12"/>
  <c r="C60" i="12"/>
  <c r="C88" i="10"/>
  <c r="C42" i="12"/>
  <c r="C24" i="10"/>
  <c r="C36" i="10"/>
  <c r="C52" i="12"/>
  <c r="C28" i="10"/>
  <c r="C60" i="10"/>
  <c r="C64" i="12"/>
  <c r="C40" i="10"/>
  <c r="C72" i="10"/>
  <c r="C48" i="10"/>
  <c r="C77" i="12"/>
  <c r="C53" i="10"/>
  <c r="C84" i="10"/>
  <c r="C76" i="12"/>
  <c r="C52" i="10"/>
  <c r="C96" i="10"/>
  <c r="C41" i="12"/>
  <c r="C40" i="12"/>
  <c r="C12" i="12"/>
  <c r="C65" i="10"/>
  <c r="C17" i="12"/>
  <c r="C24" i="12"/>
  <c r="C64" i="10"/>
  <c r="C16" i="10"/>
  <c r="C16" i="12"/>
  <c r="C36" i="12"/>
  <c r="C76" i="10"/>
  <c r="C29" i="12"/>
  <c r="C48" i="12"/>
  <c r="C89" i="10"/>
  <c r="C72" i="12"/>
  <c r="C84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20" i="1"/>
  <c r="D93" i="1"/>
  <c r="D25" i="1"/>
  <c r="D33" i="1"/>
  <c r="D85" i="1"/>
  <c r="D48" i="1"/>
  <c r="D15" i="1"/>
  <c r="D84" i="1"/>
  <c r="D61" i="1"/>
  <c r="C11" i="16"/>
  <c r="D17" i="1"/>
  <c r="D44" i="1"/>
  <c r="D54" i="1"/>
  <c r="D83" i="1"/>
  <c r="D57" i="1"/>
  <c r="D77" i="1"/>
  <c r="D23" i="1"/>
  <c r="D19" i="1"/>
  <c r="D90" i="1"/>
  <c r="D70" i="1"/>
  <c r="D37" i="1"/>
  <c r="D82" i="1"/>
  <c r="D43" i="1"/>
  <c r="D39" i="1"/>
  <c r="D86" i="1"/>
  <c r="D94" i="1"/>
  <c r="D58" i="1"/>
  <c r="D18" i="1"/>
  <c r="D63" i="1"/>
  <c r="D71" i="1"/>
  <c r="D88" i="1"/>
  <c r="C11" i="15"/>
  <c r="D29" i="1"/>
  <c r="D76" i="1"/>
  <c r="D41" i="1"/>
  <c r="D38" i="1"/>
  <c r="D30" i="1"/>
  <c r="D32" i="1"/>
  <c r="D91" i="1"/>
  <c r="D66" i="1"/>
  <c r="D72" i="1"/>
  <c r="D52" i="1"/>
  <c r="D92" i="1"/>
  <c r="D62" i="1"/>
  <c r="D65" i="1"/>
  <c r="D68" i="1"/>
  <c r="D45" i="1"/>
  <c r="D74" i="1"/>
  <c r="D75" i="1"/>
  <c r="D27" i="1"/>
  <c r="D28" i="1"/>
  <c r="D50" i="1"/>
  <c r="D31" i="1"/>
  <c r="D59" i="1"/>
  <c r="D60" i="1"/>
  <c r="D81" i="1"/>
  <c r="D69" i="1"/>
  <c r="D16" i="1"/>
  <c r="D46" i="1"/>
  <c r="D55" i="1"/>
  <c r="D53" i="1"/>
  <c r="D40" i="1"/>
  <c r="D89" i="1"/>
  <c r="D79" i="1"/>
  <c r="D42" i="1"/>
  <c r="D35" i="1"/>
  <c r="D22" i="1"/>
  <c r="D24" i="1"/>
  <c r="D56" i="1"/>
  <c r="D51" i="1"/>
  <c r="D47" i="1"/>
  <c r="D67" i="1"/>
  <c r="D73" i="1"/>
  <c r="D78" i="1"/>
  <c r="D80" i="1"/>
  <c r="D49" i="1"/>
  <c r="D34" i="1"/>
  <c r="D64" i="1"/>
  <c r="D87" i="1"/>
  <c r="D21" i="1"/>
  <c r="D26" i="1"/>
  <c r="D36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<sst xmlns="http://schemas.openxmlformats.org/spreadsheetml/2006/main" count="384" uniqueCount="86">
  <si>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</si>
  <si>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</si>
  <si>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</si>
  <si>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</si>
  <si>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</si>
  <si>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</si>
  <si>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</si>
  <si>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</si>
  <si>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</si>
  <si>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</si>
  <si>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</si>
  <si>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</si>
  <si>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</si>
  <si>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</si>
  <si>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</si>
  <si>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</si>
  <si>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</si>
  <si>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</si>
  <si>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</si>
  <si>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</si>
  <si>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</si>
  <si>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</si>
  <si>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</si>
  <si>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</si>
  <si>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</si>
  <si>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</si>
  <si>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</si>
  <si>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</si>
  <si>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</si>
  <si>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</si>
  <si>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</si>
  <si>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</si>
  <si>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</si>
  <si>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</si>
  <si>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</si>
  <si>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</si>
  <si>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</si>
  <si>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</si>
  <si>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</si>
  <si>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</si>
  <si>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</si>
  <si>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</si>
  <si>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</si>
  <si>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Démo-Mot</t>
  </si>
  <si>
    <t>Emilien Charpié</t>
  </si>
  <si>
    <t>Min 2</t>
  </si>
  <si>
    <t>Réalisation - Calendrier</t>
  </si>
  <si>
    <t>Réalisation - Ajout des tâches</t>
  </si>
  <si>
    <t>Réalisation - Ajout des groupes</t>
  </si>
  <si>
    <t>Réalisation - Suppression des tâches</t>
  </si>
  <si>
    <t>Réalisation - Suppression des groupes</t>
  </si>
  <si>
    <t>Recherche et compréhension de la template</t>
  </si>
  <si>
    <t>Faire le calendrier</t>
  </si>
  <si>
    <t>Compréhension de la template</t>
  </si>
  <si>
    <t>Recherche - Spécifications techniques</t>
  </si>
  <si>
    <t>Crecherche sur le jQuery car la template utilise le jQuery</t>
  </si>
  <si>
    <t>Création d'un fichier json et ajout de toutes les tâches dedans</t>
  </si>
  <si>
    <t>Création de l'interface des groupes de manière dynamique avec le fichier json</t>
  </si>
  <si>
    <t>Ajout de l'interface des tâches selon dans quelle groupe elle se situes, et ce avec les données du fichier json</t>
  </si>
  <si>
    <t>Ajout des tâche sur la page des tâches</t>
  </si>
  <si>
    <t>Ajout des groupes sur la page des groupes</t>
  </si>
  <si>
    <t>lundi, 30 mai 2022</t>
  </si>
  <si>
    <t>mardi, 31 mai 2022</t>
  </si>
  <si>
    <t>mercredi, 1 juin 2022</t>
  </si>
  <si>
    <t>vendredi, 3 juin 2022</t>
  </si>
  <si>
    <t>Présentation du DémoMot par M.Duding</t>
  </si>
  <si>
    <t>Recherche d'une template et trouvée une qui fait le calendrier en jQuery</t>
  </si>
  <si>
    <t>Analyse de la template car elle est complexe</t>
  </si>
  <si>
    <t>Recherche sur le jQuery et faire quelques tests</t>
  </si>
  <si>
    <t>Ajout des tâches dans un fichier json et affichage des tâches dans le calendrier (en lian le fichier json)</t>
  </si>
  <si>
    <t>Ajout des groupes présents dans le fichier json sur la page</t>
  </si>
  <si>
    <t>Début de l'ajout des tâches depuis le fichier json dans la page des tâches</t>
  </si>
  <si>
    <t>Fin de l'ajout des tâches dans la page des tâches, selon dans quel groupes elle appartiennent</t>
  </si>
  <si>
    <t>Recherche sur l'AJAX, car il faudra de l'AJAX pour l'ajout des tâches.</t>
  </si>
  <si>
    <t>Ajout des tâches sur la page des tâches grâce a une requête AJAX</t>
  </si>
  <si>
    <t>Ajout des groupes sur la page des groupes grâce a une requête AJAX</t>
  </si>
  <si>
    <t>Séquence 7</t>
  </si>
  <si>
    <t>Séquence 6</t>
  </si>
  <si>
    <t>Séquence 5</t>
  </si>
  <si>
    <t>Séquence 4</t>
  </si>
  <si>
    <t>21h</t>
  </si>
  <si>
    <t>18h45min</t>
  </si>
  <si>
    <t>- 2h15min</t>
  </si>
  <si>
    <t>Suppression des tâches quand l'utilisateur clique sur términer les tâches (reste à incrémenter l'attribut "finish dans le fichier json)</t>
  </si>
  <si>
    <t>mardi, 7 juin 2022</t>
  </si>
  <si>
    <t>Ajout du design et de la fonctionnalité pour supprimer les groupes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</si>
</sst>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FFACD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47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14" fontId="6" fillId="8" borderId="42" xfId="0" applyNumberFormat="1" applyFont="1" applyFill="1" applyBorder="1" applyAlignment="1" applyProtection="1">
      <alignment horizontal="left" vertical="center" indent="2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2" fillId="17" borderId="24" xfId="0" applyFont="1" applyFill="1" applyBorder="1" applyProtection="1"/>
    <xf numFmtId="0" fontId="2" fillId="17" borderId="25" xfId="0" applyFont="1" applyFill="1" applyBorder="1" applyProtection="1"/>
    <xf numFmtId="0" fontId="2" fillId="17" borderId="25" xfId="0" applyFont="1" applyFill="1" applyBorder="1"/>
    <xf numFmtId="0" fontId="2" fillId="17" borderId="73" xfId="0" applyFont="1" applyFill="1" applyBorder="1"/>
    <xf numFmtId="0" fontId="2" fillId="17" borderId="78" xfId="0" applyFont="1" applyFill="1" applyBorder="1"/>
    <xf numFmtId="0" fontId="2" fillId="17" borderId="55" xfId="0" applyFont="1" applyFill="1" applyBorder="1"/>
    <xf numFmtId="0" fontId="2" fillId="17" borderId="21" xfId="0" applyFont="1" applyFill="1" applyBorder="1" applyProtection="1"/>
    <xf numFmtId="0" fontId="2" fillId="17" borderId="22" xfId="0" applyFont="1" applyFill="1" applyBorder="1" applyProtection="1"/>
    <xf numFmtId="0" fontId="2" fillId="17" borderId="22" xfId="0" applyFont="1" applyFill="1" applyBorder="1"/>
    <xf numFmtId="0" fontId="2" fillId="17" borderId="75" xfId="0" applyFont="1" applyFill="1" applyBorder="1"/>
    <xf numFmtId="0" fontId="2" fillId="17" borderId="80" xfId="0" applyFont="1" applyFill="1" applyBorder="1"/>
    <xf numFmtId="0" fontId="2" fillId="17" borderId="57" xfId="0" applyFont="1" applyFill="1" applyBorder="1"/>
    <xf numFmtId="0" fontId="2" fillId="17" borderId="7" xfId="0" applyFont="1" applyFill="1" applyBorder="1" applyProtection="1"/>
    <xf numFmtId="0" fontId="2" fillId="17" borderId="6" xfId="0" applyFont="1" applyFill="1" applyBorder="1" applyProtection="1"/>
    <xf numFmtId="0" fontId="2" fillId="17" borderId="6" xfId="0" applyFont="1" applyFill="1" applyBorder="1"/>
    <xf numFmtId="0" fontId="2" fillId="17" borderId="71" xfId="0" applyFont="1" applyFill="1" applyBorder="1"/>
    <xf numFmtId="0" fontId="2" fillId="17" borderId="76" xfId="0" applyFont="1" applyFill="1" applyBorder="1"/>
    <xf numFmtId="0" fontId="2" fillId="17" borderId="53" xfId="0" applyFont="1" applyFill="1" applyBorder="1"/>
    <xf numFmtId="0" fontId="2" fillId="18" borderId="18" xfId="0" applyFont="1" applyFill="1" applyBorder="1" applyProtection="1"/>
    <xf numFmtId="0" fontId="2" fillId="18" borderId="19" xfId="0" applyFont="1" applyFill="1" applyBorder="1" applyProtection="1"/>
    <xf numFmtId="0" fontId="2" fillId="18" borderId="19" xfId="0" applyFont="1" applyFill="1" applyBorder="1"/>
    <xf numFmtId="0" fontId="2" fillId="18" borderId="72" xfId="0" applyFont="1" applyFill="1" applyBorder="1"/>
    <xf numFmtId="0" fontId="2" fillId="18" borderId="77" xfId="0" applyFont="1" applyFill="1" applyBorder="1"/>
    <xf numFmtId="0" fontId="2" fillId="18" borderId="54" xfId="0" applyFont="1" applyFill="1" applyBorder="1"/>
    <xf numFmtId="0" fontId="2" fillId="18" borderId="28" xfId="0" applyFont="1" applyFill="1" applyBorder="1"/>
    <xf numFmtId="0" fontId="2" fillId="18" borderId="79" xfId="0" applyFont="1" applyFill="1" applyBorder="1"/>
    <xf numFmtId="0" fontId="2" fillId="18" borderId="56" xfId="0" applyFont="1" applyFill="1" applyBorder="1"/>
    <xf numFmtId="0" fontId="2" fillId="18" borderId="28" xfId="0" applyFont="1" applyFill="1" applyBorder="1" applyProtection="1"/>
    <xf numFmtId="0" fontId="2" fillId="18" borderId="27" xfId="0" applyFont="1" applyFill="1" applyBorder="1" applyProtection="1"/>
    <xf numFmtId="0" fontId="2" fillId="18" borderId="74" xfId="0" applyFont="1" applyFill="1" applyBorder="1"/>
    <xf numFmtId="2" fontId="12" fillId="19" borderId="63" xfId="0" applyNumberFormat="1" applyFont="1" applyFill="1" applyBorder="1" applyAlignment="1">
      <alignment horizontal="center" vertical="center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9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14" fillId="9" borderId="0" xfId="0" applyFont="1" applyFill="1" applyBorder="1" applyAlignment="1">
      <alignment horizont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1" fillId="0" borderId="5" xfId="0" applyNumberFormat="1" applyFont="1" applyBorder="1" applyAlignment="1">
      <alignment horizontal="center"/>
    </xf>
  </cellXfs>
  <cellStyles count="2">
    <cellStyle name="Lien hypertexte" xfId="1" builtinId="8"/>
    <cellStyle name="Normal" xfId="0" builtinId="0" customBuiltin="1"/>
  </cellStyles>
  <dxfs count="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2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Réalisation - Calendrier</c:v>
              </c:pt>
              <c:pt idx="4">
                <c:v>Réalisation - Ajout des tâches</c:v>
              </c:pt>
              <c:pt idx="5">
                <c:v>Réalisation - Ajout des groupes</c:v>
              </c:pt>
              <c:pt idx="6">
                <c:v>Réalisation - Suppression des tâches</c:v>
              </c:pt>
              <c:pt idx="7">
                <c:v>Réalisation - Suppression des groupes</c:v>
              </c:pt>
              <c:pt idx="8">
                <c:v>Doc - Journal de travail</c:v>
              </c:pt>
              <c:pt idx="9">
                <c:v>Doc - Rapport</c:v>
              </c:pt>
              <c:pt idx="10">
                <c:v>Recherche - Spécifications techniques</c:v>
              </c:pt>
            </c:strLit>
          </c:cat>
          <c:val>
            <c:numLit>
              <c:formatCode>General</c:formatCode>
              <c:ptCount val="12"/>
              <c:pt idx="0">
                <c:v>1.5</c:v>
              </c:pt>
              <c:pt idx="1">
                <c:v>0</c:v>
              </c:pt>
              <c:pt idx="2">
                <c:v>8.25</c:v>
              </c:pt>
              <c:pt idx="3">
                <c:v>3.25</c:v>
              </c:pt>
              <c:pt idx="4">
                <c:v>3</c:v>
              </c:pt>
              <c:pt idx="5">
                <c:v>3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2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2"/>
              <c:pt idx="0">
                <c:v>1.5</c:v>
              </c:pt>
              <c:pt idx="1">
                <c:v>0</c:v>
              </c:pt>
              <c:pt idx="2">
                <c:v>8.25</c:v>
              </c:pt>
              <c:pt idx="3">
                <c:v>1.5</c:v>
              </c:pt>
              <c:pt idx="4">
                <c:v>1.5</c:v>
              </c:pt>
              <c:pt idx="5">
                <c:v>1.5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4.5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47</xdr:col>
          <xdr:colOff>57150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/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/>
        <xdr:cNvGrpSpPr/>
      </xdr:nvGrpSpPr>
      <xdr:grpSpPr>
        <a:xfrm>
          <a:off x="9246671" y="197069"/>
          <a:ext cx="1123209" cy="393541"/>
          <a:chOff x="8666811" y="197069"/>
          <a:chExt cx="1285641" cy="400707"/>
        </a:xfrm>
      </xdr:grpSpPr>
      <xdr:cxnSp macro="">
        <xdr:nvCxnSpPr>
          <xdr:cNvPr id="7" name="Connecteur droit 6"/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/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/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/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/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/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/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/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/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/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/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/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/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99" t="s">
        <v>34</v>
      </c>
      <c r="C35" s="199"/>
      <c r="D35" s="199"/>
      <c r="E35" s="107" t="s">
        <v>80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200" t="s">
        <v>35</v>
      </c>
      <c r="C37" s="200"/>
      <c r="D37" s="200"/>
      <c r="E37" s="109" t="s">
        <v>81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30</v>
      </c>
      <c r="E39" s="198" t="s">
        <v>82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RR99"/>
  <sheetViews>
    <sheetView showGridLines="0" zoomScale="55" zoomScaleNormal="55" zoomScaleSheetLayoutView="43" workbookViewId="0">
      <selection activeCell="PJ12" sqref="PJ12:RQ12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9.28515625" style="3" customWidth="1"/>
    <col min="6" max="485" width="1.140625" style="3" customWidth="1"/>
    <col min="486" max="486" width="2.7109375" style="3" customWidth="1"/>
    <col min="487" max="16384" width="11.42578125" style="3"/>
  </cols>
  <sheetData>
    <row r="1" spans="1:486" ht="35.1" customHeight="1" x14ac:dyDescent="0.25">
      <c r="B1" s="95"/>
      <c r="C1" s="206" t="s">
        <v>31</v>
      </c>
      <c r="D1" s="206"/>
      <c r="E1" s="206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93">
        <v>1</v>
      </c>
    </row>
    <row r="2" spans="1:4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90"/>
    </row>
    <row r="3" spans="1:486" ht="30" customHeight="1" x14ac:dyDescent="0.25">
      <c r="B3" s="96"/>
      <c r="C3" s="7" t="s">
        <v>0</v>
      </c>
      <c r="D3" s="140"/>
      <c r="E3" s="8" t="s">
        <v>43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90"/>
    </row>
    <row r="4" spans="1:486" ht="30" customHeight="1" x14ac:dyDescent="0.25">
      <c r="B4" s="96"/>
      <c r="C4" s="12" t="s">
        <v>6</v>
      </c>
      <c r="D4" s="141"/>
      <c r="E4" s="13" t="s">
        <v>44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90"/>
    </row>
    <row r="5" spans="1:486" ht="30" customHeight="1" x14ac:dyDescent="0.25">
      <c r="B5" s="96"/>
      <c r="C5" s="12" t="s">
        <v>1</v>
      </c>
      <c r="D5" s="141"/>
      <c r="E5" s="13" t="s">
        <v>45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90"/>
    </row>
    <row r="6" spans="1:486" ht="30" customHeight="1" thickBot="1" x14ac:dyDescent="0.3">
      <c r="B6" s="96"/>
      <c r="C6" s="17" t="s">
        <v>2</v>
      </c>
      <c r="D6" s="142"/>
      <c r="E6" s="18" t="s">
        <v>11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90"/>
    </row>
    <row r="7" spans="1:486" ht="20.100000000000001" customHeight="1" thickBot="1" x14ac:dyDescent="0.3">
      <c r="B7" s="96"/>
      <c r="C7" s="207"/>
      <c r="D7" s="207"/>
      <c r="E7" s="207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90"/>
    </row>
    <row r="8" spans="1:486" ht="30" customHeight="1" x14ac:dyDescent="0.25">
      <c r="B8" s="96"/>
      <c r="C8" s="7" t="s">
        <v>3</v>
      </c>
      <c r="D8" s="140"/>
      <c r="E8" s="165">
        <v>44711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90"/>
    </row>
    <row r="9" spans="1:486" ht="30" customHeight="1" x14ac:dyDescent="0.25">
      <c r="B9" s="96"/>
      <c r="C9" s="12" t="s">
        <v>18</v>
      </c>
      <c r="D9" s="141"/>
      <c r="E9" s="13" t="s">
        <v>22</v>
      </c>
      <c r="F9" s="14"/>
      <c r="G9" s="211" t="str">
        <f>E96</f>
        <v>21h</v>
      </c>
      <c r="H9" s="211"/>
      <c r="I9" s="211"/>
      <c r="J9" s="211"/>
      <c r="K9" s="211"/>
      <c r="L9" s="211"/>
      <c r="M9" s="211"/>
      <c r="N9" s="211"/>
      <c r="O9" s="211"/>
      <c r="P9" s="211"/>
      <c r="Q9" s="211"/>
      <c r="R9" s="211"/>
      <c r="S9" s="211"/>
      <c r="T9" s="211"/>
      <c r="U9" s="211"/>
      <c r="V9" s="119"/>
      <c r="W9" s="210" t="s">
        <v>23</v>
      </c>
      <c r="X9" s="210"/>
      <c r="Y9" s="210"/>
      <c r="Z9" s="210"/>
      <c r="AA9" s="210"/>
      <c r="AB9" s="210"/>
      <c r="AC9" s="210"/>
      <c r="AD9" s="210"/>
      <c r="AE9" s="210"/>
      <c r="AF9" s="210"/>
      <c r="AG9" s="210"/>
      <c r="AH9" s="211" t="str">
        <f>E98</f>
        <v>21h45min</v>
      </c>
      <c r="AI9" s="211"/>
      <c r="AJ9" s="211"/>
      <c r="AK9" s="211"/>
      <c r="AL9" s="211"/>
      <c r="AM9" s="211"/>
      <c r="AN9" s="211"/>
      <c r="AO9" s="211"/>
      <c r="AP9" s="211"/>
      <c r="AQ9" s="211"/>
      <c r="AR9" s="211"/>
      <c r="AS9" s="211"/>
      <c r="AT9" s="211"/>
      <c r="AU9" s="211"/>
      <c r="AV9" s="211"/>
      <c r="AW9" s="211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90"/>
    </row>
    <row r="10" spans="1:48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13"/>
      <c r="BO10" s="213"/>
      <c r="BP10" s="213"/>
      <c r="BQ10" s="213"/>
      <c r="BR10" s="213"/>
      <c r="BS10" s="213"/>
      <c r="BT10" s="213"/>
      <c r="BU10" s="213"/>
      <c r="BV10" s="213"/>
      <c r="BW10" s="213"/>
      <c r="BX10" s="213"/>
      <c r="BY10" s="213"/>
      <c r="BZ10" s="213"/>
      <c r="CA10" s="213"/>
      <c r="CB10" s="213"/>
      <c r="CC10" s="213"/>
      <c r="CD10" s="213"/>
      <c r="CE10" s="213"/>
      <c r="CF10" s="213"/>
      <c r="CG10" s="213"/>
      <c r="CH10" s="213"/>
      <c r="CI10" s="213"/>
      <c r="CJ10" s="213"/>
      <c r="CK10" s="213"/>
      <c r="CL10" s="213"/>
      <c r="CM10" s="213"/>
      <c r="CN10" s="213"/>
      <c r="CO10" s="213"/>
      <c r="CP10" s="213"/>
      <c r="CQ10" s="92"/>
      <c r="CR10" s="212"/>
      <c r="CS10" s="212"/>
      <c r="CT10" s="212"/>
      <c r="CU10" s="212"/>
      <c r="CV10" s="212"/>
      <c r="CW10" s="212"/>
      <c r="CX10" s="212"/>
      <c r="CY10" s="212"/>
      <c r="CZ10" s="212"/>
      <c r="DA10" s="212"/>
      <c r="DB10" s="212"/>
      <c r="DC10" s="212"/>
      <c r="DD10" s="212"/>
      <c r="DE10" s="212"/>
      <c r="DF10" s="212"/>
      <c r="DG10" s="212"/>
      <c r="DH10" s="212"/>
      <c r="DI10" s="212"/>
      <c r="DJ10" s="212"/>
      <c r="DK10" s="212"/>
      <c r="DL10" s="212"/>
      <c r="DM10" s="212"/>
      <c r="DN10" s="212"/>
      <c r="DO10" s="212"/>
      <c r="DP10" s="212"/>
      <c r="DQ10" s="212"/>
      <c r="DR10" s="212"/>
      <c r="DS10" s="212"/>
      <c r="DT10" s="212"/>
      <c r="DU10" s="212"/>
      <c r="DV10" s="212"/>
      <c r="DW10" s="212"/>
      <c r="DX10" s="212"/>
      <c r="DY10" s="212"/>
      <c r="DZ10" s="212"/>
      <c r="EA10" s="212"/>
      <c r="EB10" s="212"/>
      <c r="EC10" s="212"/>
      <c r="ED10" s="212"/>
      <c r="EE10" s="212"/>
      <c r="EF10" s="212"/>
      <c r="EG10" s="212"/>
      <c r="EH10" s="212"/>
      <c r="EI10" s="212"/>
      <c r="EJ10" s="212"/>
      <c r="EK10" s="212"/>
      <c r="EL10" s="212"/>
      <c r="EM10" s="212"/>
      <c r="EN10" s="212"/>
      <c r="EO10" s="212"/>
      <c r="EP10" s="212"/>
      <c r="EQ10" s="212"/>
      <c r="ER10" s="212"/>
      <c r="ES10" s="212"/>
      <c r="ET10" s="212"/>
      <c r="EU10" s="212"/>
      <c r="EV10" s="212"/>
      <c r="EW10" s="212"/>
      <c r="EX10" s="212"/>
      <c r="EY10" s="212"/>
      <c r="EZ10" s="212"/>
      <c r="FA10" s="212"/>
      <c r="FB10" s="212"/>
      <c r="FC10" s="212"/>
      <c r="FD10" s="212"/>
      <c r="FE10" s="212"/>
      <c r="FF10" s="212"/>
      <c r="FG10" s="212"/>
      <c r="FH10" s="212"/>
      <c r="FI10" s="212"/>
      <c r="FJ10" s="212"/>
      <c r="FK10" s="212"/>
      <c r="FL10" s="212"/>
      <c r="FM10" s="212"/>
      <c r="FN10" s="212"/>
      <c r="FO10" s="212"/>
      <c r="FP10" s="212"/>
      <c r="FQ10" s="212"/>
      <c r="FR10" s="212"/>
      <c r="FS10" s="212"/>
      <c r="FT10" s="212"/>
      <c r="FU10" s="212"/>
      <c r="FV10" s="212"/>
      <c r="FW10" s="212"/>
      <c r="FX10" s="212"/>
      <c r="FY10" s="212"/>
      <c r="FZ10" s="212"/>
      <c r="GA10" s="212"/>
      <c r="GB10" s="212"/>
      <c r="GC10" s="212"/>
      <c r="GD10" s="212"/>
      <c r="GE10" s="212"/>
      <c r="GF10" s="212"/>
      <c r="GG10" s="212"/>
      <c r="GH10" s="212"/>
      <c r="GI10" s="212"/>
      <c r="GJ10" s="212"/>
      <c r="GK10" s="212"/>
      <c r="GL10" s="212"/>
      <c r="GM10" s="212"/>
      <c r="GN10" s="212"/>
      <c r="GO10" s="212"/>
      <c r="GP10" s="212"/>
      <c r="GQ10" s="212"/>
      <c r="GR10" s="212"/>
      <c r="GS10" s="212"/>
      <c r="GT10" s="212"/>
      <c r="GU10" s="212"/>
      <c r="GV10" s="212"/>
      <c r="GW10" s="212"/>
      <c r="GX10" s="212"/>
      <c r="GY10" s="212"/>
      <c r="GZ10" s="212"/>
      <c r="HA10" s="212"/>
      <c r="HB10" s="212"/>
      <c r="HC10" s="212"/>
      <c r="HD10" s="212"/>
      <c r="HE10" s="212"/>
      <c r="HF10" s="212"/>
      <c r="HG10" s="212"/>
      <c r="HH10" s="212"/>
      <c r="HI10" s="212"/>
      <c r="HJ10" s="212"/>
      <c r="HK10" s="212"/>
      <c r="HL10" s="212"/>
      <c r="HM10" s="212"/>
      <c r="HN10" s="212"/>
      <c r="HO10" s="212"/>
      <c r="HP10" s="212"/>
      <c r="HQ10" s="212"/>
      <c r="HR10" s="212"/>
      <c r="HS10" s="212"/>
      <c r="HT10" s="212"/>
      <c r="HU10" s="212"/>
      <c r="HV10" s="212"/>
      <c r="HW10" s="212"/>
      <c r="HX10" s="212"/>
      <c r="HY10" s="212"/>
      <c r="HZ10" s="212"/>
      <c r="IA10" s="212"/>
      <c r="IB10" s="212"/>
      <c r="IC10" s="212"/>
      <c r="ID10" s="212"/>
      <c r="IE10" s="212"/>
      <c r="IF10" s="212"/>
      <c r="IG10" s="212"/>
      <c r="IH10" s="212"/>
      <c r="II10" s="212"/>
      <c r="IJ10" s="212"/>
      <c r="IK10" s="212"/>
      <c r="IL10" s="212"/>
      <c r="IM10" s="212"/>
      <c r="IN10" s="212"/>
      <c r="IO10" s="212"/>
      <c r="IP10" s="212"/>
      <c r="IQ10" s="212"/>
      <c r="IR10" s="212"/>
      <c r="IS10" s="212"/>
      <c r="IT10" s="212"/>
      <c r="IU10" s="212"/>
      <c r="IV10" s="212"/>
      <c r="IW10" s="212"/>
      <c r="IX10" s="212"/>
      <c r="IY10" s="212"/>
      <c r="IZ10" s="212"/>
      <c r="JA10" s="212"/>
      <c r="JB10" s="212"/>
      <c r="JC10" s="212"/>
      <c r="JD10" s="212"/>
      <c r="JE10" s="212"/>
      <c r="JF10" s="212"/>
      <c r="JG10" s="212"/>
      <c r="JH10" s="212"/>
      <c r="JI10" s="212"/>
      <c r="JJ10" s="212"/>
      <c r="JK10" s="212"/>
      <c r="JL10" s="212"/>
      <c r="JM10" s="212"/>
      <c r="JN10" s="212"/>
      <c r="JO10" s="212"/>
      <c r="JP10" s="212"/>
      <c r="JQ10" s="212"/>
      <c r="JR10" s="212"/>
      <c r="JS10" s="212"/>
      <c r="JT10" s="212"/>
      <c r="JU10" s="212"/>
      <c r="JV10" s="212"/>
      <c r="JW10" s="212"/>
      <c r="JX10" s="212"/>
      <c r="JY10" s="212"/>
      <c r="JZ10" s="212"/>
      <c r="KA10" s="212"/>
      <c r="KB10" s="212"/>
      <c r="KC10" s="212"/>
      <c r="KD10" s="212"/>
      <c r="KE10" s="212"/>
      <c r="KF10" s="212"/>
      <c r="KG10" s="212"/>
      <c r="KH10" s="212"/>
      <c r="KI10" s="212"/>
      <c r="KJ10" s="212"/>
      <c r="KK10" s="212"/>
      <c r="KL10" s="212"/>
      <c r="KM10" s="212"/>
      <c r="KN10" s="212"/>
      <c r="KO10" s="212"/>
      <c r="KP10" s="212"/>
      <c r="KQ10" s="212"/>
      <c r="KR10" s="212"/>
      <c r="KS10" s="212"/>
      <c r="KT10" s="212"/>
      <c r="KU10" s="212"/>
      <c r="KV10" s="212"/>
      <c r="KW10" s="212"/>
      <c r="KX10" s="212"/>
      <c r="KY10" s="212"/>
      <c r="KZ10" s="212"/>
      <c r="LA10" s="212"/>
      <c r="LB10" s="212"/>
      <c r="LC10" s="212"/>
      <c r="LD10" s="212"/>
      <c r="LE10" s="212"/>
      <c r="LF10" s="212"/>
      <c r="LG10" s="212"/>
      <c r="LH10" s="212"/>
      <c r="LI10" s="212"/>
      <c r="LJ10" s="212"/>
      <c r="LK10" s="212"/>
      <c r="LL10" s="212"/>
      <c r="LM10" s="212"/>
      <c r="LN10" s="212"/>
      <c r="LO10" s="212"/>
      <c r="LP10" s="212"/>
      <c r="LQ10" s="212"/>
      <c r="LR10" s="212"/>
      <c r="LS10" s="212"/>
      <c r="LT10" s="212"/>
      <c r="LU10" s="212"/>
      <c r="LV10" s="212"/>
      <c r="LW10" s="212"/>
      <c r="LX10" s="212"/>
      <c r="LY10" s="212"/>
      <c r="LZ10" s="212"/>
      <c r="MA10" s="212"/>
      <c r="MB10" s="212"/>
      <c r="MC10" s="212"/>
      <c r="MD10" s="212"/>
      <c r="ME10" s="212"/>
      <c r="MF10" s="212"/>
      <c r="MG10" s="212"/>
      <c r="MH10" s="212"/>
      <c r="MI10" s="212"/>
      <c r="MJ10" s="212"/>
      <c r="MK10" s="212"/>
      <c r="ML10" s="212"/>
      <c r="MM10" s="212"/>
      <c r="MN10" s="212"/>
      <c r="MO10" s="212"/>
      <c r="MP10" s="212"/>
      <c r="MQ10" s="212"/>
      <c r="MR10" s="212"/>
      <c r="MS10" s="212"/>
      <c r="MT10" s="212"/>
      <c r="MU10" s="212"/>
      <c r="MV10" s="212"/>
      <c r="MW10" s="212"/>
      <c r="MX10" s="212"/>
      <c r="MY10" s="212"/>
      <c r="MZ10" s="212"/>
      <c r="NA10" s="212"/>
      <c r="NB10" s="212"/>
      <c r="NC10" s="212"/>
      <c r="ND10" s="212"/>
      <c r="NE10" s="212"/>
      <c r="NF10" s="212"/>
      <c r="NG10" s="212"/>
      <c r="NH10" s="212"/>
      <c r="NI10" s="212"/>
      <c r="NJ10" s="212"/>
      <c r="NK10" s="212"/>
      <c r="NL10" s="212"/>
      <c r="NM10" s="212"/>
      <c r="NN10" s="212"/>
      <c r="NO10" s="212"/>
      <c r="NP10" s="212"/>
      <c r="NQ10" s="212"/>
      <c r="NR10" s="212"/>
      <c r="NS10" s="212"/>
      <c r="NT10" s="212"/>
      <c r="NU10" s="212"/>
      <c r="NV10" s="212"/>
      <c r="NW10" s="212"/>
      <c r="NX10" s="212"/>
      <c r="NY10" s="212"/>
      <c r="NZ10" s="212"/>
      <c r="OA10" s="212"/>
      <c r="OB10" s="212"/>
      <c r="OC10" s="212"/>
      <c r="OD10" s="212"/>
      <c r="OE10" s="212"/>
      <c r="OF10" s="212"/>
      <c r="OG10" s="212"/>
      <c r="OH10" s="212"/>
      <c r="OI10" s="212"/>
      <c r="OJ10" s="212"/>
      <c r="OK10" s="212"/>
      <c r="OL10" s="212"/>
      <c r="OM10" s="212"/>
      <c r="ON10" s="212"/>
      <c r="OO10" s="212"/>
      <c r="OP10" s="212"/>
      <c r="OQ10" s="212"/>
      <c r="OR10" s="212"/>
      <c r="OS10" s="212"/>
      <c r="OT10" s="212"/>
      <c r="OU10" s="212"/>
      <c r="OV10" s="212"/>
      <c r="OW10" s="212"/>
      <c r="OX10" s="212"/>
      <c r="OY10" s="212"/>
      <c r="OZ10" s="212"/>
      <c r="PA10" s="212"/>
      <c r="PB10" s="212"/>
      <c r="PC10" s="212"/>
      <c r="PD10" s="212"/>
      <c r="PE10" s="212"/>
      <c r="PF10" s="212"/>
      <c r="PG10" s="212"/>
      <c r="PH10" s="212"/>
      <c r="PI10" s="212"/>
      <c r="PJ10" s="212"/>
      <c r="PK10" s="212"/>
      <c r="PL10" s="212"/>
      <c r="PM10" s="212"/>
      <c r="PN10" s="212"/>
      <c r="PO10" s="212"/>
      <c r="PP10" s="212"/>
      <c r="PQ10" s="212"/>
      <c r="PR10" s="212"/>
      <c r="PS10" s="212"/>
      <c r="PT10" s="212"/>
      <c r="PU10" s="212"/>
      <c r="PV10" s="212"/>
      <c r="PW10" s="212"/>
      <c r="PX10" s="212"/>
      <c r="PY10" s="212"/>
      <c r="PZ10" s="212"/>
      <c r="QA10" s="212"/>
      <c r="QB10" s="212"/>
      <c r="QC10" s="212"/>
      <c r="QD10" s="212"/>
      <c r="QE10" s="212"/>
      <c r="QF10" s="212"/>
      <c r="QG10" s="212"/>
      <c r="QH10" s="212"/>
      <c r="QI10" s="212"/>
      <c r="QJ10" s="212"/>
      <c r="QK10" s="212"/>
      <c r="QL10" s="212"/>
      <c r="QM10" s="212"/>
      <c r="QN10" s="212"/>
      <c r="QO10" s="212"/>
      <c r="QP10" s="212"/>
      <c r="QQ10" s="212"/>
      <c r="QR10" s="212"/>
      <c r="QS10" s="212"/>
      <c r="QT10" s="212"/>
      <c r="QU10" s="212"/>
      <c r="QV10" s="212"/>
      <c r="QW10" s="212"/>
      <c r="QX10" s="212"/>
      <c r="QY10" s="212"/>
      <c r="QZ10" s="212"/>
      <c r="RA10" s="212"/>
      <c r="RB10" s="212"/>
      <c r="RC10" s="212"/>
      <c r="RD10" s="212"/>
      <c r="RE10" s="212"/>
      <c r="RF10" s="212"/>
      <c r="RG10" s="212"/>
      <c r="RH10" s="212"/>
      <c r="RI10" s="212"/>
      <c r="RJ10" s="212"/>
      <c r="RK10" s="212"/>
      <c r="RL10" s="212"/>
      <c r="RM10" s="212"/>
      <c r="RN10" s="212"/>
      <c r="RO10" s="212"/>
      <c r="RP10" s="212"/>
      <c r="RQ10" s="212"/>
      <c r="RR10" s="90"/>
    </row>
    <row r="11" spans="1:486" ht="20.100000000000001" customHeight="1" x14ac:dyDescent="0.25">
      <c r="B11" s="96"/>
      <c r="C11" s="204"/>
      <c r="D11" s="204"/>
      <c r="E11" s="204"/>
      <c r="F11" s="209" t="s">
        <v>61</v>
      </c>
      <c r="G11" s="209"/>
      <c r="H11" s="209"/>
      <c r="I11" s="209"/>
      <c r="J11" s="209"/>
      <c r="K11" s="209"/>
      <c r="L11" s="209"/>
      <c r="M11" s="209"/>
      <c r="N11" s="209"/>
      <c r="O11" s="209"/>
      <c r="P11" s="209"/>
      <c r="Q11" s="209"/>
      <c r="R11" s="209"/>
      <c r="S11" s="209"/>
      <c r="T11" s="209"/>
      <c r="U11" s="209"/>
      <c r="V11" s="209"/>
      <c r="W11" s="209"/>
      <c r="X11" s="209"/>
      <c r="Y11" s="209"/>
      <c r="Z11" s="209"/>
      <c r="AA11" s="209"/>
      <c r="AB11" s="209"/>
      <c r="AC11" s="209"/>
      <c r="AD11" s="209"/>
      <c r="AE11" s="209"/>
      <c r="AF11" s="209"/>
      <c r="AG11" s="209"/>
      <c r="AH11" s="209"/>
      <c r="AI11" s="209"/>
      <c r="AJ11" s="209"/>
      <c r="AK11" s="209"/>
      <c r="AL11" s="209"/>
      <c r="AM11" s="209"/>
      <c r="AN11" s="209"/>
      <c r="AO11" s="209"/>
      <c r="AP11" s="209"/>
      <c r="AQ11" s="209"/>
      <c r="AR11" s="209"/>
      <c r="AS11" s="209"/>
      <c r="AT11" s="209"/>
      <c r="AU11" s="209"/>
      <c r="AV11" s="209"/>
      <c r="AW11" s="209"/>
      <c r="AX11" s="209"/>
      <c r="AY11" s="209"/>
      <c r="AZ11" s="209"/>
      <c r="BA11" s="209"/>
      <c r="BB11" s="209"/>
      <c r="BC11" s="209"/>
      <c r="BD11" s="209"/>
      <c r="BE11" s="209"/>
      <c r="BF11" s="209"/>
      <c r="BG11" s="209"/>
      <c r="BH11" s="209"/>
      <c r="BI11" s="209"/>
      <c r="BJ11" s="209"/>
      <c r="BK11" s="209"/>
      <c r="BL11" s="209"/>
      <c r="BM11" s="209"/>
      <c r="BN11" s="209" t="s">
        <v>61</v>
      </c>
      <c r="BO11" s="209"/>
      <c r="BP11" s="209"/>
      <c r="BQ11" s="209"/>
      <c r="BR11" s="209"/>
      <c r="BS11" s="209"/>
      <c r="BT11" s="209"/>
      <c r="BU11" s="209"/>
      <c r="BV11" s="209"/>
      <c r="BW11" s="209"/>
      <c r="BX11" s="209"/>
      <c r="BY11" s="209"/>
      <c r="BZ11" s="209"/>
      <c r="CA11" s="209"/>
      <c r="CB11" s="209"/>
      <c r="CC11" s="209"/>
      <c r="CD11" s="209"/>
      <c r="CE11" s="209"/>
      <c r="CF11" s="209"/>
      <c r="CG11" s="209"/>
      <c r="CH11" s="209"/>
      <c r="CI11" s="209"/>
      <c r="CJ11" s="209"/>
      <c r="CK11" s="209"/>
      <c r="CL11" s="209"/>
      <c r="CM11" s="209"/>
      <c r="CN11" s="209"/>
      <c r="CO11" s="209"/>
      <c r="CP11" s="209"/>
      <c r="CQ11" s="209"/>
      <c r="CR11" s="209"/>
      <c r="CS11" s="209"/>
      <c r="CT11" s="209"/>
      <c r="CU11" s="209"/>
      <c r="CV11" s="209"/>
      <c r="CW11" s="209"/>
      <c r="CX11" s="209"/>
      <c r="CY11" s="209"/>
      <c r="CZ11" s="209"/>
      <c r="DA11" s="209"/>
      <c r="DB11" s="209"/>
      <c r="DC11" s="209"/>
      <c r="DD11" s="209"/>
      <c r="DE11" s="209"/>
      <c r="DF11" s="209"/>
      <c r="DG11" s="209"/>
      <c r="DH11" s="209"/>
      <c r="DI11" s="209"/>
      <c r="DJ11" s="209"/>
      <c r="DK11" s="209"/>
      <c r="DL11" s="209"/>
      <c r="DM11" s="209"/>
      <c r="DN11" s="209"/>
      <c r="DO11" s="209"/>
      <c r="DP11" s="209"/>
      <c r="DQ11" s="209"/>
      <c r="DR11" s="209"/>
      <c r="DS11" s="209"/>
      <c r="DT11" s="209"/>
      <c r="DU11" s="209"/>
      <c r="DV11" s="231" t="s">
        <v>62</v>
      </c>
      <c r="DW11" s="231"/>
      <c r="DX11" s="231"/>
      <c r="DY11" s="231"/>
      <c r="DZ11" s="231"/>
      <c r="EA11" s="231"/>
      <c r="EB11" s="231"/>
      <c r="EC11" s="231"/>
      <c r="ED11" s="231"/>
      <c r="EE11" s="231"/>
      <c r="EF11" s="231"/>
      <c r="EG11" s="231"/>
      <c r="EH11" s="231"/>
      <c r="EI11" s="231"/>
      <c r="EJ11" s="231"/>
      <c r="EK11" s="231"/>
      <c r="EL11" s="231"/>
      <c r="EM11" s="231"/>
      <c r="EN11" s="231"/>
      <c r="EO11" s="231"/>
      <c r="EP11" s="231"/>
      <c r="EQ11" s="231"/>
      <c r="ER11" s="231"/>
      <c r="ES11" s="231"/>
      <c r="ET11" s="231"/>
      <c r="EU11" s="231"/>
      <c r="EV11" s="231"/>
      <c r="EW11" s="231"/>
      <c r="EX11" s="231"/>
      <c r="EY11" s="231"/>
      <c r="EZ11" s="231"/>
      <c r="FA11" s="231"/>
      <c r="FB11" s="231"/>
      <c r="FC11" s="231"/>
      <c r="FD11" s="231"/>
      <c r="FE11" s="231"/>
      <c r="FF11" s="231"/>
      <c r="FG11" s="231"/>
      <c r="FH11" s="231"/>
      <c r="FI11" s="231"/>
      <c r="FJ11" s="231"/>
      <c r="FK11" s="231"/>
      <c r="FL11" s="231"/>
      <c r="FM11" s="231"/>
      <c r="FN11" s="231"/>
      <c r="FO11" s="231"/>
      <c r="FP11" s="231"/>
      <c r="FQ11" s="231"/>
      <c r="FR11" s="231"/>
      <c r="FS11" s="231"/>
      <c r="FT11" s="231"/>
      <c r="FU11" s="231"/>
      <c r="FV11" s="231"/>
      <c r="FW11" s="231"/>
      <c r="FX11" s="231"/>
      <c r="FY11" s="231"/>
      <c r="FZ11" s="231"/>
      <c r="GA11" s="231"/>
      <c r="GB11" s="231"/>
      <c r="GC11" s="231"/>
      <c r="GD11" s="231" t="s">
        <v>63</v>
      </c>
      <c r="GE11" s="231"/>
      <c r="GF11" s="231"/>
      <c r="GG11" s="231"/>
      <c r="GH11" s="231"/>
      <c r="GI11" s="231"/>
      <c r="GJ11" s="231"/>
      <c r="GK11" s="231"/>
      <c r="GL11" s="231"/>
      <c r="GM11" s="231"/>
      <c r="GN11" s="231"/>
      <c r="GO11" s="231"/>
      <c r="GP11" s="231"/>
      <c r="GQ11" s="231"/>
      <c r="GR11" s="231"/>
      <c r="GS11" s="231"/>
      <c r="GT11" s="231"/>
      <c r="GU11" s="231"/>
      <c r="GV11" s="231"/>
      <c r="GW11" s="231"/>
      <c r="GX11" s="231"/>
      <c r="GY11" s="231"/>
      <c r="GZ11" s="231"/>
      <c r="HA11" s="231"/>
      <c r="HB11" s="231"/>
      <c r="HC11" s="231"/>
      <c r="HD11" s="231"/>
      <c r="HE11" s="231"/>
      <c r="HF11" s="231"/>
      <c r="HG11" s="231"/>
      <c r="HH11" s="231"/>
      <c r="HI11" s="231"/>
      <c r="HJ11" s="231"/>
      <c r="HK11" s="231"/>
      <c r="HL11" s="231"/>
      <c r="HM11" s="231"/>
      <c r="HN11" s="231"/>
      <c r="HO11" s="231"/>
      <c r="HP11" s="231"/>
      <c r="HQ11" s="231"/>
      <c r="HR11" s="231"/>
      <c r="HS11" s="231"/>
      <c r="HT11" s="231"/>
      <c r="HU11" s="231"/>
      <c r="HV11" s="231"/>
      <c r="HW11" s="231"/>
      <c r="HX11" s="231"/>
      <c r="HY11" s="231"/>
      <c r="HZ11" s="231"/>
      <c r="IA11" s="231"/>
      <c r="IB11" s="231"/>
      <c r="IC11" s="231"/>
      <c r="ID11" s="231"/>
      <c r="IE11" s="231"/>
      <c r="IF11" s="231"/>
      <c r="IG11" s="231"/>
      <c r="IH11" s="231"/>
      <c r="II11" s="231"/>
      <c r="IJ11" s="231"/>
      <c r="IK11" s="231"/>
      <c r="IL11" s="231" t="s">
        <v>63</v>
      </c>
      <c r="IM11" s="231"/>
      <c r="IN11" s="231"/>
      <c r="IO11" s="231"/>
      <c r="IP11" s="231"/>
      <c r="IQ11" s="231"/>
      <c r="IR11" s="231"/>
      <c r="IS11" s="231"/>
      <c r="IT11" s="231"/>
      <c r="IU11" s="231"/>
      <c r="IV11" s="231"/>
      <c r="IW11" s="231"/>
      <c r="IX11" s="231"/>
      <c r="IY11" s="231"/>
      <c r="IZ11" s="231"/>
      <c r="JA11" s="231"/>
      <c r="JB11" s="231"/>
      <c r="JC11" s="231"/>
      <c r="JD11" s="231"/>
      <c r="JE11" s="231"/>
      <c r="JF11" s="231"/>
      <c r="JG11" s="231"/>
      <c r="JH11" s="231"/>
      <c r="JI11" s="231"/>
      <c r="JJ11" s="231"/>
      <c r="JK11" s="231"/>
      <c r="JL11" s="231"/>
      <c r="JM11" s="231"/>
      <c r="JN11" s="231"/>
      <c r="JO11" s="231"/>
      <c r="JP11" s="231"/>
      <c r="JQ11" s="231"/>
      <c r="JR11" s="231"/>
      <c r="JS11" s="231"/>
      <c r="JT11" s="231"/>
      <c r="JU11" s="231"/>
      <c r="JV11" s="231"/>
      <c r="JW11" s="231"/>
      <c r="JX11" s="231"/>
      <c r="JY11" s="231"/>
      <c r="JZ11" s="231"/>
      <c r="KA11" s="231"/>
      <c r="KB11" s="231"/>
      <c r="KC11" s="231"/>
      <c r="KD11" s="231"/>
      <c r="KE11" s="231"/>
      <c r="KF11" s="231"/>
      <c r="KG11" s="231"/>
      <c r="KH11" s="231"/>
      <c r="KI11" s="231"/>
      <c r="KJ11" s="231"/>
      <c r="KK11" s="231"/>
      <c r="KL11" s="231"/>
      <c r="KM11" s="231"/>
      <c r="KN11" s="231"/>
      <c r="KO11" s="231"/>
      <c r="KP11" s="231"/>
      <c r="KQ11" s="231"/>
      <c r="KR11" s="231"/>
      <c r="KS11" s="231"/>
      <c r="KT11" s="231" t="s">
        <v>64</v>
      </c>
      <c r="KU11" s="231"/>
      <c r="KV11" s="231"/>
      <c r="KW11" s="231"/>
      <c r="KX11" s="231"/>
      <c r="KY11" s="231"/>
      <c r="KZ11" s="231"/>
      <c r="LA11" s="231"/>
      <c r="LB11" s="231"/>
      <c r="LC11" s="231"/>
      <c r="LD11" s="231"/>
      <c r="LE11" s="231"/>
      <c r="LF11" s="231"/>
      <c r="LG11" s="231"/>
      <c r="LH11" s="231"/>
      <c r="LI11" s="231"/>
      <c r="LJ11" s="231"/>
      <c r="LK11" s="231"/>
      <c r="LL11" s="231"/>
      <c r="LM11" s="231"/>
      <c r="LN11" s="231"/>
      <c r="LO11" s="231"/>
      <c r="LP11" s="231"/>
      <c r="LQ11" s="231"/>
      <c r="LR11" s="231"/>
      <c r="LS11" s="231"/>
      <c r="LT11" s="231"/>
      <c r="LU11" s="231"/>
      <c r="LV11" s="231"/>
      <c r="LW11" s="231"/>
      <c r="LX11" s="231"/>
      <c r="LY11" s="231"/>
      <c r="LZ11" s="231"/>
      <c r="MA11" s="231"/>
      <c r="MB11" s="231"/>
      <c r="MC11" s="231"/>
      <c r="MD11" s="231"/>
      <c r="ME11" s="231"/>
      <c r="MF11" s="231"/>
      <c r="MG11" s="231"/>
      <c r="MH11" s="231"/>
      <c r="MI11" s="231"/>
      <c r="MJ11" s="231"/>
      <c r="MK11" s="231"/>
      <c r="ML11" s="231"/>
      <c r="MM11" s="231"/>
      <c r="MN11" s="231"/>
      <c r="MO11" s="231"/>
      <c r="MP11" s="231"/>
      <c r="MQ11" s="231"/>
      <c r="MR11" s="231"/>
      <c r="MS11" s="231"/>
      <c r="MT11" s="231"/>
      <c r="MU11" s="231"/>
      <c r="MV11" s="231"/>
      <c r="MW11" s="231"/>
      <c r="MX11" s="231"/>
      <c r="MY11" s="231"/>
      <c r="MZ11" s="231"/>
      <c r="NA11" s="231"/>
      <c r="NB11" s="231" t="s">
        <v>64</v>
      </c>
      <c r="NC11" s="231"/>
      <c r="ND11" s="231"/>
      <c r="NE11" s="231"/>
      <c r="NF11" s="231"/>
      <c r="NG11" s="231"/>
      <c r="NH11" s="231"/>
      <c r="NI11" s="231"/>
      <c r="NJ11" s="231"/>
      <c r="NK11" s="231"/>
      <c r="NL11" s="231"/>
      <c r="NM11" s="231"/>
      <c r="NN11" s="231"/>
      <c r="NO11" s="231"/>
      <c r="NP11" s="231"/>
      <c r="NQ11" s="231"/>
      <c r="NR11" s="231"/>
      <c r="NS11" s="231"/>
      <c r="NT11" s="231"/>
      <c r="NU11" s="231"/>
      <c r="NV11" s="231"/>
      <c r="NW11" s="231"/>
      <c r="NX11" s="231"/>
      <c r="NY11" s="231"/>
      <c r="NZ11" s="231"/>
      <c r="OA11" s="231"/>
      <c r="OB11" s="231"/>
      <c r="OC11" s="231"/>
      <c r="OD11" s="231"/>
      <c r="OE11" s="231"/>
      <c r="OF11" s="231"/>
      <c r="OG11" s="231"/>
      <c r="OH11" s="231"/>
      <c r="OI11" s="231"/>
      <c r="OJ11" s="231"/>
      <c r="OK11" s="231"/>
      <c r="OL11" s="231"/>
      <c r="OM11" s="231"/>
      <c r="ON11" s="231"/>
      <c r="OO11" s="231"/>
      <c r="OP11" s="231"/>
      <c r="OQ11" s="231"/>
      <c r="OR11" s="231"/>
      <c r="OS11" s="231"/>
      <c r="OT11" s="231"/>
      <c r="OU11" s="231"/>
      <c r="OV11" s="231"/>
      <c r="OW11" s="231"/>
      <c r="OX11" s="231"/>
      <c r="OY11" s="231"/>
      <c r="OZ11" s="231"/>
      <c r="PA11" s="231"/>
      <c r="PB11" s="231"/>
      <c r="PC11" s="231"/>
      <c r="PD11" s="231"/>
      <c r="PE11" s="231"/>
      <c r="PF11" s="231"/>
      <c r="PG11" s="231"/>
      <c r="PH11" s="231"/>
      <c r="PI11" s="231"/>
      <c r="PJ11" s="231" t="s">
        <v>84</v>
      </c>
      <c r="PK11" s="231"/>
      <c r="PL11" s="231"/>
      <c r="PM11" s="231"/>
      <c r="PN11" s="231"/>
      <c r="PO11" s="231"/>
      <c r="PP11" s="231"/>
      <c r="PQ11" s="231"/>
      <c r="PR11" s="231"/>
      <c r="PS11" s="231"/>
      <c r="PT11" s="231"/>
      <c r="PU11" s="231"/>
      <c r="PV11" s="231"/>
      <c r="PW11" s="231"/>
      <c r="PX11" s="231"/>
      <c r="PY11" s="231"/>
      <c r="PZ11" s="231"/>
      <c r="QA11" s="231"/>
      <c r="QB11" s="231"/>
      <c r="QC11" s="231"/>
      <c r="QD11" s="231"/>
      <c r="QE11" s="231"/>
      <c r="QF11" s="231"/>
      <c r="QG11" s="231"/>
      <c r="QH11" s="231"/>
      <c r="QI11" s="231"/>
      <c r="QJ11" s="231"/>
      <c r="QK11" s="231"/>
      <c r="QL11" s="231"/>
      <c r="QM11" s="231"/>
      <c r="QN11" s="231"/>
      <c r="QO11" s="231"/>
      <c r="QP11" s="231"/>
      <c r="QQ11" s="231"/>
      <c r="QR11" s="231"/>
      <c r="QS11" s="231"/>
      <c r="QT11" s="231"/>
      <c r="QU11" s="231"/>
      <c r="QV11" s="231"/>
      <c r="QW11" s="231"/>
      <c r="QX11" s="231"/>
      <c r="QY11" s="231"/>
      <c r="QZ11" s="231"/>
      <c r="RA11" s="231"/>
      <c r="RB11" s="231"/>
      <c r="RC11" s="231"/>
      <c r="RD11" s="231"/>
      <c r="RE11" s="231"/>
      <c r="RF11" s="231"/>
      <c r="RG11" s="231"/>
      <c r="RH11" s="231"/>
      <c r="RI11" s="231"/>
      <c r="RJ11" s="231"/>
      <c r="RK11" s="231"/>
      <c r="RL11" s="231"/>
      <c r="RM11" s="231"/>
      <c r="RN11" s="231"/>
      <c r="RO11" s="231"/>
      <c r="RP11" s="231"/>
      <c r="RQ11" s="231"/>
      <c r="RR11" s="90"/>
    </row>
    <row r="12" spans="1:486" ht="15.75" customHeight="1" thickBot="1" x14ac:dyDescent="0.3">
      <c r="B12" s="97"/>
      <c r="C12" s="205"/>
      <c r="D12" s="205"/>
      <c r="E12" s="205"/>
      <c r="F12" s="208"/>
      <c r="G12" s="208"/>
      <c r="H12" s="208"/>
      <c r="I12" s="208"/>
      <c r="J12" s="208"/>
      <c r="K12" s="208"/>
      <c r="L12" s="208"/>
      <c r="M12" s="208"/>
      <c r="N12" s="208"/>
      <c r="O12" s="208"/>
      <c r="P12" s="208"/>
      <c r="Q12" s="208"/>
      <c r="R12" s="208"/>
      <c r="S12" s="208"/>
      <c r="T12" s="208"/>
      <c r="U12" s="208"/>
      <c r="V12" s="208"/>
      <c r="W12" s="208"/>
      <c r="X12" s="208"/>
      <c r="Y12" s="208"/>
      <c r="Z12" s="208"/>
      <c r="AA12" s="208"/>
      <c r="AB12" s="208"/>
      <c r="AC12" s="208"/>
      <c r="AD12" s="208"/>
      <c r="AE12" s="208"/>
      <c r="AF12" s="208"/>
      <c r="AG12" s="208"/>
      <c r="AH12" s="208"/>
      <c r="AI12" s="208"/>
      <c r="AJ12" s="208"/>
      <c r="AK12" s="208"/>
      <c r="AL12" s="208"/>
      <c r="AM12" s="208"/>
      <c r="AN12" s="208"/>
      <c r="AO12" s="208"/>
      <c r="AP12" s="208"/>
      <c r="AQ12" s="208"/>
      <c r="AR12" s="208"/>
      <c r="AS12" s="208"/>
      <c r="AT12" s="208"/>
      <c r="AU12" s="208"/>
      <c r="AV12" s="208"/>
      <c r="AW12" s="208"/>
      <c r="AX12" s="208"/>
      <c r="AY12" s="208"/>
      <c r="AZ12" s="208"/>
      <c r="BA12" s="208"/>
      <c r="BB12" s="208"/>
      <c r="BC12" s="208"/>
      <c r="BD12" s="208"/>
      <c r="BE12" s="208"/>
      <c r="BF12" s="208"/>
      <c r="BG12" s="208"/>
      <c r="BH12" s="208"/>
      <c r="BI12" s="208"/>
      <c r="BJ12" s="208"/>
      <c r="BK12" s="208"/>
      <c r="BL12" s="208"/>
      <c r="BM12" s="208"/>
      <c r="BN12" s="208"/>
      <c r="BO12" s="208"/>
      <c r="BP12" s="208"/>
      <c r="BQ12" s="208"/>
      <c r="BR12" s="208"/>
      <c r="BS12" s="208"/>
      <c r="BT12" s="208"/>
      <c r="BU12" s="208"/>
      <c r="BV12" s="208"/>
      <c r="BW12" s="208"/>
      <c r="BX12" s="208"/>
      <c r="BY12" s="208"/>
      <c r="BZ12" s="208"/>
      <c r="CA12" s="208"/>
      <c r="CB12" s="208"/>
      <c r="CC12" s="208"/>
      <c r="CD12" s="208"/>
      <c r="CE12" s="208"/>
      <c r="CF12" s="208"/>
      <c r="CG12" s="208"/>
      <c r="CH12" s="208"/>
      <c r="CI12" s="208"/>
      <c r="CJ12" s="208"/>
      <c r="CK12" s="208"/>
      <c r="CL12" s="208"/>
      <c r="CM12" s="208"/>
      <c r="CN12" s="208"/>
      <c r="CO12" s="208"/>
      <c r="CP12" s="208"/>
      <c r="CQ12" s="208"/>
      <c r="CR12" s="208"/>
      <c r="CS12" s="208"/>
      <c r="CT12" s="208"/>
      <c r="CU12" s="208"/>
      <c r="CV12" s="208"/>
      <c r="CW12" s="208"/>
      <c r="CX12" s="208"/>
      <c r="CY12" s="208"/>
      <c r="CZ12" s="208"/>
      <c r="DA12" s="208"/>
      <c r="DB12" s="208"/>
      <c r="DC12" s="208"/>
      <c r="DD12" s="208"/>
      <c r="DE12" s="208"/>
      <c r="DF12" s="208"/>
      <c r="DG12" s="208"/>
      <c r="DH12" s="208"/>
      <c r="DI12" s="208"/>
      <c r="DJ12" s="208"/>
      <c r="DK12" s="208"/>
      <c r="DL12" s="208"/>
      <c r="DM12" s="208"/>
      <c r="DN12" s="208"/>
      <c r="DO12" s="208"/>
      <c r="DP12" s="208"/>
      <c r="DQ12" s="208"/>
      <c r="DR12" s="208"/>
      <c r="DS12" s="208"/>
      <c r="DT12" s="208"/>
      <c r="DU12" s="208"/>
      <c r="DV12" s="208"/>
      <c r="DW12" s="208"/>
      <c r="DX12" s="208"/>
      <c r="DY12" s="208"/>
      <c r="DZ12" s="208"/>
      <c r="EA12" s="208"/>
      <c r="EB12" s="208"/>
      <c r="EC12" s="208"/>
      <c r="ED12" s="208"/>
      <c r="EE12" s="208"/>
      <c r="EF12" s="208"/>
      <c r="EG12" s="208"/>
      <c r="EH12" s="208"/>
      <c r="EI12" s="208"/>
      <c r="EJ12" s="208"/>
      <c r="EK12" s="208"/>
      <c r="EL12" s="208"/>
      <c r="EM12" s="208"/>
      <c r="EN12" s="208"/>
      <c r="EO12" s="208"/>
      <c r="EP12" s="208"/>
      <c r="EQ12" s="208"/>
      <c r="ER12" s="208"/>
      <c r="ES12" s="208"/>
      <c r="ET12" s="208"/>
      <c r="EU12" s="208"/>
      <c r="EV12" s="208"/>
      <c r="EW12" s="208"/>
      <c r="EX12" s="208"/>
      <c r="EY12" s="208"/>
      <c r="EZ12" s="208"/>
      <c r="FA12" s="208"/>
      <c r="FB12" s="208"/>
      <c r="FC12" s="208"/>
      <c r="FD12" s="208"/>
      <c r="FE12" s="208"/>
      <c r="FF12" s="208"/>
      <c r="FG12" s="208"/>
      <c r="FH12" s="208"/>
      <c r="FI12" s="208"/>
      <c r="FJ12" s="208"/>
      <c r="FK12" s="208"/>
      <c r="FL12" s="208"/>
      <c r="FM12" s="208"/>
      <c r="FN12" s="208"/>
      <c r="FO12" s="208"/>
      <c r="FP12" s="208"/>
      <c r="FQ12" s="208"/>
      <c r="FR12" s="208"/>
      <c r="FS12" s="208"/>
      <c r="FT12" s="208"/>
      <c r="FU12" s="208"/>
      <c r="FV12" s="208"/>
      <c r="FW12" s="208"/>
      <c r="FX12" s="208"/>
      <c r="FY12" s="208"/>
      <c r="FZ12" s="208"/>
      <c r="GA12" s="208"/>
      <c r="GB12" s="208"/>
      <c r="GC12" s="208"/>
      <c r="GD12" s="208"/>
      <c r="GE12" s="208"/>
      <c r="GF12" s="208"/>
      <c r="GG12" s="208"/>
      <c r="GH12" s="208"/>
      <c r="GI12" s="208"/>
      <c r="GJ12" s="208"/>
      <c r="GK12" s="208"/>
      <c r="GL12" s="208"/>
      <c r="GM12" s="208"/>
      <c r="GN12" s="208"/>
      <c r="GO12" s="208"/>
      <c r="GP12" s="208"/>
      <c r="GQ12" s="208"/>
      <c r="GR12" s="208"/>
      <c r="GS12" s="208"/>
      <c r="GT12" s="208"/>
      <c r="GU12" s="208"/>
      <c r="GV12" s="208"/>
      <c r="GW12" s="208"/>
      <c r="GX12" s="208"/>
      <c r="GY12" s="208"/>
      <c r="GZ12" s="208"/>
      <c r="HA12" s="208"/>
      <c r="HB12" s="208"/>
      <c r="HC12" s="208"/>
      <c r="HD12" s="208"/>
      <c r="HE12" s="208"/>
      <c r="HF12" s="208"/>
      <c r="HG12" s="208"/>
      <c r="HH12" s="208"/>
      <c r="HI12" s="208"/>
      <c r="HJ12" s="208"/>
      <c r="HK12" s="208"/>
      <c r="HL12" s="208"/>
      <c r="HM12" s="208"/>
      <c r="HN12" s="208"/>
      <c r="HO12" s="208"/>
      <c r="HP12" s="208"/>
      <c r="HQ12" s="208"/>
      <c r="HR12" s="208"/>
      <c r="HS12" s="208"/>
      <c r="HT12" s="208"/>
      <c r="HU12" s="208"/>
      <c r="HV12" s="208"/>
      <c r="HW12" s="208"/>
      <c r="HX12" s="208"/>
      <c r="HY12" s="208"/>
      <c r="HZ12" s="208"/>
      <c r="IA12" s="208"/>
      <c r="IB12" s="208"/>
      <c r="IC12" s="208"/>
      <c r="ID12" s="208"/>
      <c r="IE12" s="208"/>
      <c r="IF12" s="208"/>
      <c r="IG12" s="208"/>
      <c r="IH12" s="208"/>
      <c r="II12" s="208"/>
      <c r="IJ12" s="208"/>
      <c r="IK12" s="208"/>
      <c r="IL12" s="208"/>
      <c r="IM12" s="208"/>
      <c r="IN12" s="208"/>
      <c r="IO12" s="208"/>
      <c r="IP12" s="208"/>
      <c r="IQ12" s="208"/>
      <c r="IR12" s="208"/>
      <c r="IS12" s="208"/>
      <c r="IT12" s="208"/>
      <c r="IU12" s="208"/>
      <c r="IV12" s="208"/>
      <c r="IW12" s="208"/>
      <c r="IX12" s="208"/>
      <c r="IY12" s="208"/>
      <c r="IZ12" s="208"/>
      <c r="JA12" s="208"/>
      <c r="JB12" s="208"/>
      <c r="JC12" s="208"/>
      <c r="JD12" s="208"/>
      <c r="JE12" s="208"/>
      <c r="JF12" s="208"/>
      <c r="JG12" s="208"/>
      <c r="JH12" s="208"/>
      <c r="JI12" s="208"/>
      <c r="JJ12" s="208"/>
      <c r="JK12" s="208"/>
      <c r="JL12" s="208"/>
      <c r="JM12" s="208"/>
      <c r="JN12" s="208"/>
      <c r="JO12" s="208"/>
      <c r="JP12" s="208"/>
      <c r="JQ12" s="208"/>
      <c r="JR12" s="208"/>
      <c r="JS12" s="208"/>
      <c r="JT12" s="208"/>
      <c r="JU12" s="208"/>
      <c r="JV12" s="208"/>
      <c r="JW12" s="208"/>
      <c r="JX12" s="208"/>
      <c r="JY12" s="208"/>
      <c r="JZ12" s="208"/>
      <c r="KA12" s="208"/>
      <c r="KB12" s="208"/>
      <c r="KC12" s="208"/>
      <c r="KD12" s="208"/>
      <c r="KE12" s="208"/>
      <c r="KF12" s="208"/>
      <c r="KG12" s="208"/>
      <c r="KH12" s="208"/>
      <c r="KI12" s="208"/>
      <c r="KJ12" s="208"/>
      <c r="KK12" s="208"/>
      <c r="KL12" s="208"/>
      <c r="KM12" s="208"/>
      <c r="KN12" s="208"/>
      <c r="KO12" s="208"/>
      <c r="KP12" s="208"/>
      <c r="KQ12" s="208"/>
      <c r="KR12" s="208"/>
      <c r="KS12" s="208"/>
      <c r="KT12" s="208"/>
      <c r="KU12" s="208"/>
      <c r="KV12" s="208"/>
      <c r="KW12" s="208"/>
      <c r="KX12" s="208"/>
      <c r="KY12" s="208"/>
      <c r="KZ12" s="208"/>
      <c r="LA12" s="208"/>
      <c r="LB12" s="208"/>
      <c r="LC12" s="208"/>
      <c r="LD12" s="208"/>
      <c r="LE12" s="208"/>
      <c r="LF12" s="208"/>
      <c r="LG12" s="208"/>
      <c r="LH12" s="208"/>
      <c r="LI12" s="208"/>
      <c r="LJ12" s="208"/>
      <c r="LK12" s="208"/>
      <c r="LL12" s="208"/>
      <c r="LM12" s="208"/>
      <c r="LN12" s="208"/>
      <c r="LO12" s="208"/>
      <c r="LP12" s="208"/>
      <c r="LQ12" s="208"/>
      <c r="LR12" s="208"/>
      <c r="LS12" s="208"/>
      <c r="LT12" s="208"/>
      <c r="LU12" s="208"/>
      <c r="LV12" s="208"/>
      <c r="LW12" s="208"/>
      <c r="LX12" s="208"/>
      <c r="LY12" s="208"/>
      <c r="LZ12" s="208"/>
      <c r="MA12" s="208"/>
      <c r="MB12" s="208"/>
      <c r="MC12" s="208"/>
      <c r="MD12" s="208"/>
      <c r="ME12" s="208"/>
      <c r="MF12" s="208"/>
      <c r="MG12" s="208"/>
      <c r="MH12" s="208"/>
      <c r="MI12" s="208"/>
      <c r="MJ12" s="208"/>
      <c r="MK12" s="208"/>
      <c r="ML12" s="208"/>
      <c r="MM12" s="208"/>
      <c r="MN12" s="208"/>
      <c r="MO12" s="208"/>
      <c r="MP12" s="208"/>
      <c r="MQ12" s="208"/>
      <c r="MR12" s="208"/>
      <c r="MS12" s="208"/>
      <c r="MT12" s="208"/>
      <c r="MU12" s="208"/>
      <c r="MV12" s="208"/>
      <c r="MW12" s="208"/>
      <c r="MX12" s="208"/>
      <c r="MY12" s="208"/>
      <c r="MZ12" s="208"/>
      <c r="NA12" s="208"/>
      <c r="NB12" s="208"/>
      <c r="NC12" s="208"/>
      <c r="ND12" s="208"/>
      <c r="NE12" s="208"/>
      <c r="NF12" s="208"/>
      <c r="NG12" s="208"/>
      <c r="NH12" s="208"/>
      <c r="NI12" s="208"/>
      <c r="NJ12" s="208"/>
      <c r="NK12" s="208"/>
      <c r="NL12" s="208"/>
      <c r="NM12" s="208"/>
      <c r="NN12" s="208"/>
      <c r="NO12" s="208"/>
      <c r="NP12" s="208"/>
      <c r="NQ12" s="208"/>
      <c r="NR12" s="208"/>
      <c r="NS12" s="208"/>
      <c r="NT12" s="208"/>
      <c r="NU12" s="208"/>
      <c r="NV12" s="208"/>
      <c r="NW12" s="208"/>
      <c r="NX12" s="208"/>
      <c r="NY12" s="208"/>
      <c r="NZ12" s="208"/>
      <c r="OA12" s="208"/>
      <c r="OB12" s="208"/>
      <c r="OC12" s="208"/>
      <c r="OD12" s="208"/>
      <c r="OE12" s="208"/>
      <c r="OF12" s="208"/>
      <c r="OG12" s="208"/>
      <c r="OH12" s="208"/>
      <c r="OI12" s="208"/>
      <c r="OJ12" s="208"/>
      <c r="OK12" s="208"/>
      <c r="OL12" s="208"/>
      <c r="OM12" s="208"/>
      <c r="ON12" s="208"/>
      <c r="OO12" s="208"/>
      <c r="OP12" s="208"/>
      <c r="OQ12" s="208"/>
      <c r="OR12" s="208"/>
      <c r="OS12" s="208"/>
      <c r="OT12" s="208"/>
      <c r="OU12" s="208"/>
      <c r="OV12" s="208"/>
      <c r="OW12" s="208"/>
      <c r="OX12" s="208"/>
      <c r="OY12" s="208"/>
      <c r="OZ12" s="208"/>
      <c r="PA12" s="208"/>
      <c r="PB12" s="208"/>
      <c r="PC12" s="208"/>
      <c r="PD12" s="208"/>
      <c r="PE12" s="208"/>
      <c r="PF12" s="208"/>
      <c r="PG12" s="208"/>
      <c r="PH12" s="208"/>
      <c r="PI12" s="208"/>
      <c r="PJ12" s="246"/>
      <c r="PK12" s="246"/>
      <c r="PL12" s="246"/>
      <c r="PM12" s="246"/>
      <c r="PN12" s="246"/>
      <c r="PO12" s="246"/>
      <c r="PP12" s="246"/>
      <c r="PQ12" s="246"/>
      <c r="PR12" s="246"/>
      <c r="PS12" s="246"/>
      <c r="PT12" s="246"/>
      <c r="PU12" s="246"/>
      <c r="PV12" s="246"/>
      <c r="PW12" s="246"/>
      <c r="PX12" s="246"/>
      <c r="PY12" s="246"/>
      <c r="PZ12" s="246"/>
      <c r="QA12" s="246"/>
      <c r="QB12" s="246"/>
      <c r="QC12" s="246"/>
      <c r="QD12" s="246"/>
      <c r="QE12" s="246"/>
      <c r="QF12" s="246"/>
      <c r="QG12" s="246"/>
      <c r="QH12" s="246"/>
      <c r="QI12" s="246"/>
      <c r="QJ12" s="246"/>
      <c r="QK12" s="246"/>
      <c r="QL12" s="246"/>
      <c r="QM12" s="246"/>
      <c r="QN12" s="246"/>
      <c r="QO12" s="246"/>
      <c r="QP12" s="246"/>
      <c r="QQ12" s="246"/>
      <c r="QR12" s="246"/>
      <c r="QS12" s="246"/>
      <c r="QT12" s="246"/>
      <c r="QU12" s="246"/>
      <c r="QV12" s="246"/>
      <c r="QW12" s="246"/>
      <c r="QX12" s="246"/>
      <c r="QY12" s="246"/>
      <c r="QZ12" s="246"/>
      <c r="RA12" s="246"/>
      <c r="RB12" s="246"/>
      <c r="RC12" s="246"/>
      <c r="RD12" s="246"/>
      <c r="RE12" s="246"/>
      <c r="RF12" s="246"/>
      <c r="RG12" s="246"/>
      <c r="RH12" s="246"/>
      <c r="RI12" s="246"/>
      <c r="RJ12" s="246"/>
      <c r="RK12" s="246"/>
      <c r="RL12" s="246"/>
      <c r="RM12" s="246"/>
      <c r="RN12" s="246"/>
      <c r="RO12" s="246"/>
      <c r="RP12" s="246"/>
      <c r="RQ12" s="246"/>
      <c r="RR12" s="90"/>
    </row>
    <row r="13" spans="1:486" ht="42.75" customHeight="1" thickBot="1" x14ac:dyDescent="0.3">
      <c r="B13" s="96"/>
      <c r="C13" s="224" t="s">
        <v>7</v>
      </c>
      <c r="D13" s="144"/>
      <c r="E13" s="226" t="s">
        <v>41</v>
      </c>
      <c r="F13" s="228" t="s">
        <v>8</v>
      </c>
      <c r="G13" s="229"/>
      <c r="H13" s="229"/>
      <c r="I13" s="229"/>
      <c r="J13" s="229"/>
      <c r="K13" s="229"/>
      <c r="L13" s="229"/>
      <c r="M13" s="229"/>
      <c r="N13" s="229"/>
      <c r="O13" s="229"/>
      <c r="P13" s="229"/>
      <c r="Q13" s="229"/>
      <c r="R13" s="229"/>
      <c r="S13" s="229"/>
      <c r="T13" s="229"/>
      <c r="U13" s="229"/>
      <c r="V13" s="229"/>
      <c r="W13" s="229"/>
      <c r="X13" s="229"/>
      <c r="Y13" s="229"/>
      <c r="Z13" s="229"/>
      <c r="AA13" s="229"/>
      <c r="AB13" s="229"/>
      <c r="AC13" s="229"/>
      <c r="AD13" s="229"/>
      <c r="AE13" s="229"/>
      <c r="AF13" s="229"/>
      <c r="AG13" s="229"/>
      <c r="AH13" s="229"/>
      <c r="AI13" s="229"/>
      <c r="AJ13" s="229"/>
      <c r="AK13" s="229"/>
      <c r="AL13" s="229"/>
      <c r="AM13" s="229"/>
      <c r="AN13" s="229"/>
      <c r="AO13" s="229"/>
      <c r="AP13" s="229"/>
      <c r="AQ13" s="229"/>
      <c r="AR13" s="229"/>
      <c r="AS13" s="229"/>
      <c r="AT13" s="229"/>
      <c r="AU13" s="229"/>
      <c r="AV13" s="229"/>
      <c r="AW13" s="229"/>
      <c r="AX13" s="229"/>
      <c r="AY13" s="229"/>
      <c r="AZ13" s="229"/>
      <c r="BA13" s="229"/>
      <c r="BB13" s="229"/>
      <c r="BC13" s="229"/>
      <c r="BD13" s="229"/>
      <c r="BE13" s="229"/>
      <c r="BF13" s="229"/>
      <c r="BG13" s="229"/>
      <c r="BH13" s="229"/>
      <c r="BI13" s="229"/>
      <c r="BJ13" s="229"/>
      <c r="BK13" s="229"/>
      <c r="BL13" s="229"/>
      <c r="BM13" s="230"/>
      <c r="BN13" s="228" t="s">
        <v>28</v>
      </c>
      <c r="BO13" s="229"/>
      <c r="BP13" s="229"/>
      <c r="BQ13" s="229"/>
      <c r="BR13" s="229"/>
      <c r="BS13" s="229"/>
      <c r="BT13" s="229"/>
      <c r="BU13" s="229"/>
      <c r="BV13" s="229"/>
      <c r="BW13" s="229"/>
      <c r="BX13" s="229"/>
      <c r="BY13" s="229"/>
      <c r="BZ13" s="229"/>
      <c r="CA13" s="229"/>
      <c r="CB13" s="229"/>
      <c r="CC13" s="229"/>
      <c r="CD13" s="229"/>
      <c r="CE13" s="229"/>
      <c r="CF13" s="229"/>
      <c r="CG13" s="229"/>
      <c r="CH13" s="229"/>
      <c r="CI13" s="229"/>
      <c r="CJ13" s="229"/>
      <c r="CK13" s="229"/>
      <c r="CL13" s="229"/>
      <c r="CM13" s="229"/>
      <c r="CN13" s="229"/>
      <c r="CO13" s="229"/>
      <c r="CP13" s="229"/>
      <c r="CQ13" s="229"/>
      <c r="CR13" s="229"/>
      <c r="CS13" s="229"/>
      <c r="CT13" s="229"/>
      <c r="CU13" s="229"/>
      <c r="CV13" s="229"/>
      <c r="CW13" s="229"/>
      <c r="CX13" s="229"/>
      <c r="CY13" s="229"/>
      <c r="CZ13" s="229"/>
      <c r="DA13" s="229"/>
      <c r="DB13" s="229"/>
      <c r="DC13" s="229"/>
      <c r="DD13" s="229"/>
      <c r="DE13" s="229"/>
      <c r="DF13" s="229"/>
      <c r="DG13" s="229"/>
      <c r="DH13" s="229"/>
      <c r="DI13" s="229"/>
      <c r="DJ13" s="229"/>
      <c r="DK13" s="229"/>
      <c r="DL13" s="229"/>
      <c r="DM13" s="229"/>
      <c r="DN13" s="229"/>
      <c r="DO13" s="229"/>
      <c r="DP13" s="229"/>
      <c r="DQ13" s="229"/>
      <c r="DR13" s="229"/>
      <c r="DS13" s="229"/>
      <c r="DT13" s="229"/>
      <c r="DU13" s="230"/>
      <c r="DV13" s="228" t="s">
        <v>19</v>
      </c>
      <c r="DW13" s="229"/>
      <c r="DX13" s="229"/>
      <c r="DY13" s="229"/>
      <c r="DZ13" s="229"/>
      <c r="EA13" s="229"/>
      <c r="EB13" s="229"/>
      <c r="EC13" s="229"/>
      <c r="ED13" s="229"/>
      <c r="EE13" s="229"/>
      <c r="EF13" s="229"/>
      <c r="EG13" s="229"/>
      <c r="EH13" s="229"/>
      <c r="EI13" s="229"/>
      <c r="EJ13" s="229"/>
      <c r="EK13" s="229"/>
      <c r="EL13" s="229"/>
      <c r="EM13" s="229"/>
      <c r="EN13" s="229"/>
      <c r="EO13" s="229"/>
      <c r="EP13" s="229"/>
      <c r="EQ13" s="229"/>
      <c r="ER13" s="229"/>
      <c r="ES13" s="229"/>
      <c r="ET13" s="229"/>
      <c r="EU13" s="229"/>
      <c r="EV13" s="229"/>
      <c r="EW13" s="229"/>
      <c r="EX13" s="229"/>
      <c r="EY13" s="229"/>
      <c r="EZ13" s="229"/>
      <c r="FA13" s="229"/>
      <c r="FB13" s="229"/>
      <c r="FC13" s="229"/>
      <c r="FD13" s="229"/>
      <c r="FE13" s="229"/>
      <c r="FF13" s="229"/>
      <c r="FG13" s="229"/>
      <c r="FH13" s="229"/>
      <c r="FI13" s="229"/>
      <c r="FJ13" s="229"/>
      <c r="FK13" s="229"/>
      <c r="FL13" s="229"/>
      <c r="FM13" s="229"/>
      <c r="FN13" s="229"/>
      <c r="FO13" s="229"/>
      <c r="FP13" s="229"/>
      <c r="FQ13" s="229"/>
      <c r="FR13" s="229"/>
      <c r="FS13" s="229"/>
      <c r="FT13" s="229"/>
      <c r="FU13" s="229"/>
      <c r="FV13" s="229"/>
      <c r="FW13" s="229"/>
      <c r="FX13" s="229"/>
      <c r="FY13" s="229"/>
      <c r="FZ13" s="229"/>
      <c r="GA13" s="229"/>
      <c r="GB13" s="229"/>
      <c r="GC13" s="230"/>
      <c r="GD13" s="228" t="s">
        <v>79</v>
      </c>
      <c r="GE13" s="229"/>
      <c r="GF13" s="229"/>
      <c r="GG13" s="229"/>
      <c r="GH13" s="229"/>
      <c r="GI13" s="229"/>
      <c r="GJ13" s="229"/>
      <c r="GK13" s="229"/>
      <c r="GL13" s="229"/>
      <c r="GM13" s="229"/>
      <c r="GN13" s="229"/>
      <c r="GO13" s="229"/>
      <c r="GP13" s="229"/>
      <c r="GQ13" s="229"/>
      <c r="GR13" s="229"/>
      <c r="GS13" s="229"/>
      <c r="GT13" s="229"/>
      <c r="GU13" s="229"/>
      <c r="GV13" s="229"/>
      <c r="GW13" s="229"/>
      <c r="GX13" s="229"/>
      <c r="GY13" s="229"/>
      <c r="GZ13" s="229"/>
      <c r="HA13" s="229"/>
      <c r="HB13" s="229"/>
      <c r="HC13" s="229"/>
      <c r="HD13" s="229"/>
      <c r="HE13" s="229"/>
      <c r="HF13" s="229"/>
      <c r="HG13" s="229"/>
      <c r="HH13" s="229"/>
      <c r="HI13" s="229"/>
      <c r="HJ13" s="229"/>
      <c r="HK13" s="229"/>
      <c r="HL13" s="229"/>
      <c r="HM13" s="229"/>
      <c r="HN13" s="229"/>
      <c r="HO13" s="229"/>
      <c r="HP13" s="229"/>
      <c r="HQ13" s="229"/>
      <c r="HR13" s="229"/>
      <c r="HS13" s="229"/>
      <c r="HT13" s="229"/>
      <c r="HU13" s="229"/>
      <c r="HV13" s="229"/>
      <c r="HW13" s="229"/>
      <c r="HX13" s="229"/>
      <c r="HY13" s="229"/>
      <c r="HZ13" s="229"/>
      <c r="IA13" s="229"/>
      <c r="IB13" s="229"/>
      <c r="IC13" s="229"/>
      <c r="ID13" s="229"/>
      <c r="IE13" s="229"/>
      <c r="IF13" s="229"/>
      <c r="IG13" s="229"/>
      <c r="IH13" s="229"/>
      <c r="II13" s="229"/>
      <c r="IJ13" s="229"/>
      <c r="IK13" s="230"/>
      <c r="IL13" s="228" t="s">
        <v>78</v>
      </c>
      <c r="IM13" s="229"/>
      <c r="IN13" s="229"/>
      <c r="IO13" s="229"/>
      <c r="IP13" s="229"/>
      <c r="IQ13" s="229"/>
      <c r="IR13" s="229"/>
      <c r="IS13" s="229"/>
      <c r="IT13" s="229"/>
      <c r="IU13" s="229"/>
      <c r="IV13" s="229"/>
      <c r="IW13" s="229"/>
      <c r="IX13" s="229"/>
      <c r="IY13" s="229"/>
      <c r="IZ13" s="229"/>
      <c r="JA13" s="229"/>
      <c r="JB13" s="229"/>
      <c r="JC13" s="229"/>
      <c r="JD13" s="229"/>
      <c r="JE13" s="229"/>
      <c r="JF13" s="229"/>
      <c r="JG13" s="229"/>
      <c r="JH13" s="229"/>
      <c r="JI13" s="229"/>
      <c r="JJ13" s="229"/>
      <c r="JK13" s="229"/>
      <c r="JL13" s="229"/>
      <c r="JM13" s="229"/>
      <c r="JN13" s="229"/>
      <c r="JO13" s="229"/>
      <c r="JP13" s="229"/>
      <c r="JQ13" s="229"/>
      <c r="JR13" s="229"/>
      <c r="JS13" s="229"/>
      <c r="JT13" s="229"/>
      <c r="JU13" s="229"/>
      <c r="JV13" s="229"/>
      <c r="JW13" s="229"/>
      <c r="JX13" s="229"/>
      <c r="JY13" s="229"/>
      <c r="JZ13" s="229"/>
      <c r="KA13" s="229"/>
      <c r="KB13" s="229"/>
      <c r="KC13" s="229"/>
      <c r="KD13" s="229"/>
      <c r="KE13" s="229"/>
      <c r="KF13" s="229"/>
      <c r="KG13" s="229"/>
      <c r="KH13" s="229"/>
      <c r="KI13" s="229"/>
      <c r="KJ13" s="229"/>
      <c r="KK13" s="229"/>
      <c r="KL13" s="229"/>
      <c r="KM13" s="229"/>
      <c r="KN13" s="229"/>
      <c r="KO13" s="229"/>
      <c r="KP13" s="229"/>
      <c r="KQ13" s="229"/>
      <c r="KR13" s="229"/>
      <c r="KS13" s="230"/>
      <c r="KT13" s="228" t="s">
        <v>77</v>
      </c>
      <c r="KU13" s="229"/>
      <c r="KV13" s="229"/>
      <c r="KW13" s="229"/>
      <c r="KX13" s="229"/>
      <c r="KY13" s="229"/>
      <c r="KZ13" s="229"/>
      <c r="LA13" s="229"/>
      <c r="LB13" s="229"/>
      <c r="LC13" s="229"/>
      <c r="LD13" s="229"/>
      <c r="LE13" s="229"/>
      <c r="LF13" s="229"/>
      <c r="LG13" s="229"/>
      <c r="LH13" s="229"/>
      <c r="LI13" s="229"/>
      <c r="LJ13" s="229"/>
      <c r="LK13" s="229"/>
      <c r="LL13" s="229"/>
      <c r="LM13" s="229"/>
      <c r="LN13" s="229"/>
      <c r="LO13" s="229"/>
      <c r="LP13" s="229"/>
      <c r="LQ13" s="229"/>
      <c r="LR13" s="229"/>
      <c r="LS13" s="229"/>
      <c r="LT13" s="229"/>
      <c r="LU13" s="229"/>
      <c r="LV13" s="229"/>
      <c r="LW13" s="229"/>
      <c r="LX13" s="229"/>
      <c r="LY13" s="229"/>
      <c r="LZ13" s="229"/>
      <c r="MA13" s="229"/>
      <c r="MB13" s="229"/>
      <c r="MC13" s="229"/>
      <c r="MD13" s="229"/>
      <c r="ME13" s="229"/>
      <c r="MF13" s="229"/>
      <c r="MG13" s="229"/>
      <c r="MH13" s="229"/>
      <c r="MI13" s="229"/>
      <c r="MJ13" s="229"/>
      <c r="MK13" s="229"/>
      <c r="ML13" s="229"/>
      <c r="MM13" s="229"/>
      <c r="MN13" s="229"/>
      <c r="MO13" s="229"/>
      <c r="MP13" s="229"/>
      <c r="MQ13" s="229"/>
      <c r="MR13" s="229"/>
      <c r="MS13" s="229"/>
      <c r="MT13" s="229"/>
      <c r="MU13" s="229"/>
      <c r="MV13" s="229"/>
      <c r="MW13" s="229"/>
      <c r="MX13" s="229"/>
      <c r="MY13" s="229"/>
      <c r="MZ13" s="229"/>
      <c r="NA13" s="230"/>
      <c r="NB13" s="228" t="s">
        <v>76</v>
      </c>
      <c r="NC13" s="229"/>
      <c r="ND13" s="229"/>
      <c r="NE13" s="229"/>
      <c r="NF13" s="229"/>
      <c r="NG13" s="229"/>
      <c r="NH13" s="229"/>
      <c r="NI13" s="229"/>
      <c r="NJ13" s="229"/>
      <c r="NK13" s="229"/>
      <c r="NL13" s="229"/>
      <c r="NM13" s="229"/>
      <c r="NN13" s="229"/>
      <c r="NO13" s="229"/>
      <c r="NP13" s="229"/>
      <c r="NQ13" s="229"/>
      <c r="NR13" s="229"/>
      <c r="NS13" s="229"/>
      <c r="NT13" s="229"/>
      <c r="NU13" s="229"/>
      <c r="NV13" s="229"/>
      <c r="NW13" s="229"/>
      <c r="NX13" s="229"/>
      <c r="NY13" s="229"/>
      <c r="NZ13" s="229"/>
      <c r="OA13" s="229"/>
      <c r="OB13" s="229"/>
      <c r="OC13" s="229"/>
      <c r="OD13" s="229"/>
      <c r="OE13" s="229"/>
      <c r="OF13" s="229"/>
      <c r="OG13" s="229"/>
      <c r="OH13" s="229"/>
      <c r="OI13" s="229"/>
      <c r="OJ13" s="229"/>
      <c r="OK13" s="229"/>
      <c r="OL13" s="229"/>
      <c r="OM13" s="229"/>
      <c r="ON13" s="229"/>
      <c r="OO13" s="229"/>
      <c r="OP13" s="229"/>
      <c r="OQ13" s="229"/>
      <c r="OR13" s="229"/>
      <c r="OS13" s="229"/>
      <c r="OT13" s="229"/>
      <c r="OU13" s="229"/>
      <c r="OV13" s="229"/>
      <c r="OW13" s="229"/>
      <c r="OX13" s="229"/>
      <c r="OY13" s="229"/>
      <c r="OZ13" s="229"/>
      <c r="PA13" s="229"/>
      <c r="PB13" s="229"/>
      <c r="PC13" s="229"/>
      <c r="PD13" s="229"/>
      <c r="PE13" s="229"/>
      <c r="PF13" s="229"/>
      <c r="PG13" s="229"/>
      <c r="PH13" s="229"/>
      <c r="PI13" s="230"/>
      <c r="PJ13" s="228" t="s">
        <v>12</v>
      </c>
      <c r="PK13" s="229"/>
      <c r="PL13" s="229"/>
      <c r="PM13" s="229"/>
      <c r="PN13" s="229"/>
      <c r="PO13" s="229"/>
      <c r="PP13" s="229"/>
      <c r="PQ13" s="229"/>
      <c r="PR13" s="229"/>
      <c r="PS13" s="229"/>
      <c r="PT13" s="229"/>
      <c r="PU13" s="229"/>
      <c r="PV13" s="229"/>
      <c r="PW13" s="229"/>
      <c r="PX13" s="229"/>
      <c r="PY13" s="229"/>
      <c r="PZ13" s="229"/>
      <c r="QA13" s="229"/>
      <c r="QB13" s="229"/>
      <c r="QC13" s="229"/>
      <c r="QD13" s="229"/>
      <c r="QE13" s="229"/>
      <c r="QF13" s="229"/>
      <c r="QG13" s="229"/>
      <c r="QH13" s="229"/>
      <c r="QI13" s="229"/>
      <c r="QJ13" s="229"/>
      <c r="QK13" s="229"/>
      <c r="QL13" s="229"/>
      <c r="QM13" s="229"/>
      <c r="QN13" s="229"/>
      <c r="QO13" s="229"/>
      <c r="QP13" s="229"/>
      <c r="QQ13" s="229"/>
      <c r="QR13" s="229"/>
      <c r="QS13" s="229"/>
      <c r="QT13" s="229"/>
      <c r="QU13" s="229"/>
      <c r="QV13" s="229"/>
      <c r="QW13" s="229"/>
      <c r="QX13" s="229"/>
      <c r="QY13" s="229"/>
      <c r="QZ13" s="229"/>
      <c r="RA13" s="229"/>
      <c r="RB13" s="229"/>
      <c r="RC13" s="229"/>
      <c r="RD13" s="229"/>
      <c r="RE13" s="229"/>
      <c r="RF13" s="229"/>
      <c r="RG13" s="229"/>
      <c r="RH13" s="229"/>
      <c r="RI13" s="229"/>
      <c r="RJ13" s="229"/>
      <c r="RK13" s="229"/>
      <c r="RL13" s="229"/>
      <c r="RM13" s="229"/>
      <c r="RN13" s="229"/>
      <c r="RO13" s="229"/>
      <c r="RP13" s="229"/>
      <c r="RQ13" s="230"/>
      <c r="RR13" s="90"/>
    </row>
    <row r="14" spans="1:486" ht="12.75" customHeight="1" thickBot="1" x14ac:dyDescent="0.35">
      <c r="B14" s="96"/>
      <c r="C14" s="225"/>
      <c r="D14" s="145"/>
      <c r="E14" s="227"/>
      <c r="F14" s="103"/>
      <c r="G14" s="104"/>
      <c r="H14" s="104"/>
      <c r="I14" s="104"/>
      <c r="J14" s="214" t="s">
        <v>36</v>
      </c>
      <c r="K14" s="214"/>
      <c r="L14" s="214"/>
      <c r="M14" s="214"/>
      <c r="N14" s="104"/>
      <c r="O14" s="104"/>
      <c r="P14" s="215" t="s">
        <v>24</v>
      </c>
      <c r="Q14" s="215"/>
      <c r="R14" s="215"/>
      <c r="S14" s="215"/>
      <c r="T14" s="129"/>
      <c r="U14" s="129"/>
      <c r="V14" s="214" t="s">
        <v>37</v>
      </c>
      <c r="W14" s="214"/>
      <c r="X14" s="214"/>
      <c r="Y14" s="214"/>
      <c r="Z14" s="104"/>
      <c r="AA14" s="104"/>
      <c r="AB14" s="215" t="s">
        <v>25</v>
      </c>
      <c r="AC14" s="215"/>
      <c r="AD14" s="215"/>
      <c r="AE14" s="215"/>
      <c r="AF14" s="129"/>
      <c r="AG14" s="129"/>
      <c r="AH14" s="214" t="s">
        <v>38</v>
      </c>
      <c r="AI14" s="214"/>
      <c r="AJ14" s="214"/>
      <c r="AK14" s="214"/>
      <c r="AL14" s="104"/>
      <c r="AM14" s="104"/>
      <c r="AN14" s="215" t="s">
        <v>26</v>
      </c>
      <c r="AO14" s="215"/>
      <c r="AP14" s="215"/>
      <c r="AQ14" s="215"/>
      <c r="AR14" s="129"/>
      <c r="AS14" s="129"/>
      <c r="AT14" s="214" t="s">
        <v>39</v>
      </c>
      <c r="AU14" s="214"/>
      <c r="AV14" s="214"/>
      <c r="AW14" s="214"/>
      <c r="AX14" s="104"/>
      <c r="AY14" s="104"/>
      <c r="AZ14" s="215" t="s">
        <v>27</v>
      </c>
      <c r="BA14" s="215"/>
      <c r="BB14" s="215"/>
      <c r="BC14" s="215"/>
      <c r="BD14" s="129"/>
      <c r="BE14" s="129"/>
      <c r="BF14" s="214" t="s">
        <v>40</v>
      </c>
      <c r="BG14" s="214"/>
      <c r="BH14" s="214"/>
      <c r="BI14" s="214"/>
      <c r="BJ14" s="104"/>
      <c r="BK14" s="104"/>
      <c r="BL14" s="104"/>
      <c r="BM14" s="105"/>
      <c r="BN14" s="103"/>
      <c r="BO14" s="104"/>
      <c r="BP14" s="104"/>
      <c r="BQ14" s="104"/>
      <c r="BR14" s="214" t="s">
        <v>36</v>
      </c>
      <c r="BS14" s="214"/>
      <c r="BT14" s="214"/>
      <c r="BU14" s="214"/>
      <c r="BV14" s="104"/>
      <c r="BW14" s="104"/>
      <c r="BX14" s="215" t="s">
        <v>24</v>
      </c>
      <c r="BY14" s="215"/>
      <c r="BZ14" s="215"/>
      <c r="CA14" s="215"/>
      <c r="CB14" s="129"/>
      <c r="CC14" s="129"/>
      <c r="CD14" s="214" t="s">
        <v>37</v>
      </c>
      <c r="CE14" s="214"/>
      <c r="CF14" s="214"/>
      <c r="CG14" s="214"/>
      <c r="CH14" s="104"/>
      <c r="CI14" s="104"/>
      <c r="CJ14" s="215" t="s">
        <v>25</v>
      </c>
      <c r="CK14" s="215"/>
      <c r="CL14" s="215"/>
      <c r="CM14" s="215"/>
      <c r="CN14" s="129"/>
      <c r="CO14" s="129"/>
      <c r="CP14" s="214" t="s">
        <v>38</v>
      </c>
      <c r="CQ14" s="214"/>
      <c r="CR14" s="214"/>
      <c r="CS14" s="214"/>
      <c r="CT14" s="104"/>
      <c r="CU14" s="104"/>
      <c r="CV14" s="215" t="s">
        <v>26</v>
      </c>
      <c r="CW14" s="215"/>
      <c r="CX14" s="215"/>
      <c r="CY14" s="215"/>
      <c r="CZ14" s="129"/>
      <c r="DA14" s="129"/>
      <c r="DB14" s="214" t="s">
        <v>39</v>
      </c>
      <c r="DC14" s="214"/>
      <c r="DD14" s="214"/>
      <c r="DE14" s="214"/>
      <c r="DF14" s="104"/>
      <c r="DG14" s="104"/>
      <c r="DH14" s="215" t="s">
        <v>27</v>
      </c>
      <c r="DI14" s="215"/>
      <c r="DJ14" s="215"/>
      <c r="DK14" s="215"/>
      <c r="DL14" s="129"/>
      <c r="DM14" s="129"/>
      <c r="DN14" s="214" t="s">
        <v>40</v>
      </c>
      <c r="DO14" s="214"/>
      <c r="DP14" s="214"/>
      <c r="DQ14" s="214"/>
      <c r="DR14" s="104"/>
      <c r="DS14" s="104"/>
      <c r="DT14" s="104"/>
      <c r="DU14" s="105"/>
      <c r="DV14" s="103"/>
      <c r="DW14" s="104"/>
      <c r="DX14" s="104"/>
      <c r="DY14" s="104"/>
      <c r="DZ14" s="214" t="s">
        <v>36</v>
      </c>
      <c r="EA14" s="214"/>
      <c r="EB14" s="214"/>
      <c r="EC14" s="214"/>
      <c r="ED14" s="104"/>
      <c r="EE14" s="104"/>
      <c r="EF14" s="215" t="s">
        <v>24</v>
      </c>
      <c r="EG14" s="215"/>
      <c r="EH14" s="215"/>
      <c r="EI14" s="215"/>
      <c r="EJ14" s="129"/>
      <c r="EK14" s="129"/>
      <c r="EL14" s="214" t="s">
        <v>37</v>
      </c>
      <c r="EM14" s="214"/>
      <c r="EN14" s="214"/>
      <c r="EO14" s="214"/>
      <c r="EP14" s="104"/>
      <c r="EQ14" s="104"/>
      <c r="ER14" s="215" t="s">
        <v>25</v>
      </c>
      <c r="ES14" s="215"/>
      <c r="ET14" s="215"/>
      <c r="EU14" s="215"/>
      <c r="EV14" s="129"/>
      <c r="EW14" s="129"/>
      <c r="EX14" s="214" t="s">
        <v>38</v>
      </c>
      <c r="EY14" s="214"/>
      <c r="EZ14" s="214"/>
      <c r="FA14" s="214"/>
      <c r="FB14" s="104"/>
      <c r="FC14" s="104"/>
      <c r="FD14" s="215" t="s">
        <v>26</v>
      </c>
      <c r="FE14" s="215"/>
      <c r="FF14" s="215"/>
      <c r="FG14" s="215"/>
      <c r="FH14" s="129"/>
      <c r="FI14" s="129"/>
      <c r="FJ14" s="214" t="s">
        <v>39</v>
      </c>
      <c r="FK14" s="214"/>
      <c r="FL14" s="214"/>
      <c r="FM14" s="214"/>
      <c r="FN14" s="104"/>
      <c r="FO14" s="104"/>
      <c r="FP14" s="215" t="s">
        <v>27</v>
      </c>
      <c r="FQ14" s="215"/>
      <c r="FR14" s="215"/>
      <c r="FS14" s="215"/>
      <c r="FT14" s="129"/>
      <c r="FU14" s="129"/>
      <c r="FV14" s="214" t="s">
        <v>40</v>
      </c>
      <c r="FW14" s="214"/>
      <c r="FX14" s="214"/>
      <c r="FY14" s="214"/>
      <c r="FZ14" s="104"/>
      <c r="GA14" s="104"/>
      <c r="GB14" s="104"/>
      <c r="GC14" s="105"/>
      <c r="GD14" s="103"/>
      <c r="GE14" s="104"/>
      <c r="GF14" s="104"/>
      <c r="GG14" s="104"/>
      <c r="GH14" s="214" t="s">
        <v>36</v>
      </c>
      <c r="GI14" s="214"/>
      <c r="GJ14" s="214"/>
      <c r="GK14" s="214"/>
      <c r="GL14" s="104"/>
      <c r="GM14" s="104"/>
      <c r="GN14" s="215" t="s">
        <v>24</v>
      </c>
      <c r="GO14" s="215"/>
      <c r="GP14" s="215"/>
      <c r="GQ14" s="215"/>
      <c r="GR14" s="129"/>
      <c r="GS14" s="129"/>
      <c r="GT14" s="214" t="s">
        <v>37</v>
      </c>
      <c r="GU14" s="214"/>
      <c r="GV14" s="214"/>
      <c r="GW14" s="214"/>
      <c r="GX14" s="104"/>
      <c r="GY14" s="104"/>
      <c r="GZ14" s="215" t="s">
        <v>25</v>
      </c>
      <c r="HA14" s="215"/>
      <c r="HB14" s="215"/>
      <c r="HC14" s="215"/>
      <c r="HD14" s="129"/>
      <c r="HE14" s="129"/>
      <c r="HF14" s="214" t="s">
        <v>38</v>
      </c>
      <c r="HG14" s="214"/>
      <c r="HH14" s="214"/>
      <c r="HI14" s="214"/>
      <c r="HJ14" s="104"/>
      <c r="HK14" s="104"/>
      <c r="HL14" s="215" t="s">
        <v>26</v>
      </c>
      <c r="HM14" s="215"/>
      <c r="HN14" s="215"/>
      <c r="HO14" s="215"/>
      <c r="HP14" s="129"/>
      <c r="HQ14" s="129"/>
      <c r="HR14" s="214" t="s">
        <v>39</v>
      </c>
      <c r="HS14" s="214"/>
      <c r="HT14" s="214"/>
      <c r="HU14" s="214"/>
      <c r="HV14" s="104"/>
      <c r="HW14" s="104"/>
      <c r="HX14" s="215" t="s">
        <v>27</v>
      </c>
      <c r="HY14" s="215"/>
      <c r="HZ14" s="215"/>
      <c r="IA14" s="215"/>
      <c r="IB14" s="129"/>
      <c r="IC14" s="129"/>
      <c r="ID14" s="214" t="s">
        <v>40</v>
      </c>
      <c r="IE14" s="214"/>
      <c r="IF14" s="214"/>
      <c r="IG14" s="214"/>
      <c r="IH14" s="104"/>
      <c r="II14" s="104"/>
      <c r="IJ14" s="104"/>
      <c r="IK14" s="105"/>
      <c r="IL14" s="103"/>
      <c r="IM14" s="104"/>
      <c r="IN14" s="104"/>
      <c r="IO14" s="104"/>
      <c r="IP14" s="214" t="s">
        <v>36</v>
      </c>
      <c r="IQ14" s="214"/>
      <c r="IR14" s="214"/>
      <c r="IS14" s="214"/>
      <c r="IT14" s="104"/>
      <c r="IU14" s="104"/>
      <c r="IV14" s="215" t="s">
        <v>24</v>
      </c>
      <c r="IW14" s="215"/>
      <c r="IX14" s="215"/>
      <c r="IY14" s="215"/>
      <c r="IZ14" s="129"/>
      <c r="JA14" s="129"/>
      <c r="JB14" s="214" t="s">
        <v>37</v>
      </c>
      <c r="JC14" s="214"/>
      <c r="JD14" s="214"/>
      <c r="JE14" s="214"/>
      <c r="JF14" s="104"/>
      <c r="JG14" s="104"/>
      <c r="JH14" s="215" t="s">
        <v>25</v>
      </c>
      <c r="JI14" s="215"/>
      <c r="JJ14" s="215"/>
      <c r="JK14" s="215"/>
      <c r="JL14" s="129"/>
      <c r="JM14" s="129"/>
      <c r="JN14" s="214" t="s">
        <v>38</v>
      </c>
      <c r="JO14" s="214"/>
      <c r="JP14" s="214"/>
      <c r="JQ14" s="214"/>
      <c r="JR14" s="104"/>
      <c r="JS14" s="104"/>
      <c r="JT14" s="215" t="s">
        <v>26</v>
      </c>
      <c r="JU14" s="215"/>
      <c r="JV14" s="215"/>
      <c r="JW14" s="215"/>
      <c r="JX14" s="129"/>
      <c r="JY14" s="129"/>
      <c r="JZ14" s="214" t="s">
        <v>39</v>
      </c>
      <c r="KA14" s="214"/>
      <c r="KB14" s="214"/>
      <c r="KC14" s="214"/>
      <c r="KD14" s="104"/>
      <c r="KE14" s="104"/>
      <c r="KF14" s="215" t="s">
        <v>27</v>
      </c>
      <c r="KG14" s="215"/>
      <c r="KH14" s="215"/>
      <c r="KI14" s="215"/>
      <c r="KJ14" s="129"/>
      <c r="KK14" s="129"/>
      <c r="KL14" s="214" t="s">
        <v>40</v>
      </c>
      <c r="KM14" s="214"/>
      <c r="KN14" s="214"/>
      <c r="KO14" s="214"/>
      <c r="KP14" s="104"/>
      <c r="KQ14" s="104"/>
      <c r="KR14" s="104"/>
      <c r="KS14" s="105"/>
      <c r="KT14" s="103"/>
      <c r="KU14" s="104"/>
      <c r="KV14" s="104"/>
      <c r="KW14" s="104"/>
      <c r="KX14" s="214" t="s">
        <v>36</v>
      </c>
      <c r="KY14" s="214"/>
      <c r="KZ14" s="214"/>
      <c r="LA14" s="214"/>
      <c r="LB14" s="104"/>
      <c r="LC14" s="104"/>
      <c r="LD14" s="215" t="s">
        <v>24</v>
      </c>
      <c r="LE14" s="215"/>
      <c r="LF14" s="215"/>
      <c r="LG14" s="215"/>
      <c r="LH14" s="129"/>
      <c r="LI14" s="129"/>
      <c r="LJ14" s="214" t="s">
        <v>37</v>
      </c>
      <c r="LK14" s="214"/>
      <c r="LL14" s="214"/>
      <c r="LM14" s="214"/>
      <c r="LN14" s="104"/>
      <c r="LO14" s="104"/>
      <c r="LP14" s="215" t="s">
        <v>25</v>
      </c>
      <c r="LQ14" s="215"/>
      <c r="LR14" s="215"/>
      <c r="LS14" s="215"/>
      <c r="LT14" s="129"/>
      <c r="LU14" s="129"/>
      <c r="LV14" s="214" t="s">
        <v>38</v>
      </c>
      <c r="LW14" s="214"/>
      <c r="LX14" s="214"/>
      <c r="LY14" s="214"/>
      <c r="LZ14" s="104"/>
      <c r="MA14" s="104"/>
      <c r="MB14" s="215" t="s">
        <v>26</v>
      </c>
      <c r="MC14" s="215"/>
      <c r="MD14" s="215"/>
      <c r="ME14" s="215"/>
      <c r="MF14" s="129"/>
      <c r="MG14" s="129"/>
      <c r="MH14" s="214" t="s">
        <v>39</v>
      </c>
      <c r="MI14" s="214"/>
      <c r="MJ14" s="214"/>
      <c r="MK14" s="214"/>
      <c r="ML14" s="104"/>
      <c r="MM14" s="104"/>
      <c r="MN14" s="215" t="s">
        <v>27</v>
      </c>
      <c r="MO14" s="215"/>
      <c r="MP14" s="215"/>
      <c r="MQ14" s="215"/>
      <c r="MR14" s="129"/>
      <c r="MS14" s="129"/>
      <c r="MT14" s="214" t="s">
        <v>40</v>
      </c>
      <c r="MU14" s="214"/>
      <c r="MV14" s="214"/>
      <c r="MW14" s="214"/>
      <c r="MX14" s="104"/>
      <c r="MY14" s="104"/>
      <c r="MZ14" s="104"/>
      <c r="NA14" s="105"/>
      <c r="NB14" s="103"/>
      <c r="NC14" s="104"/>
      <c r="ND14" s="104"/>
      <c r="NE14" s="104"/>
      <c r="NF14" s="214" t="s">
        <v>36</v>
      </c>
      <c r="NG14" s="214"/>
      <c r="NH14" s="214"/>
      <c r="NI14" s="214"/>
      <c r="NJ14" s="104"/>
      <c r="NK14" s="104"/>
      <c r="NL14" s="215" t="s">
        <v>24</v>
      </c>
      <c r="NM14" s="215"/>
      <c r="NN14" s="215"/>
      <c r="NO14" s="215"/>
      <c r="NP14" s="129"/>
      <c r="NQ14" s="129"/>
      <c r="NR14" s="214" t="s">
        <v>37</v>
      </c>
      <c r="NS14" s="214"/>
      <c r="NT14" s="214"/>
      <c r="NU14" s="214"/>
      <c r="NV14" s="104"/>
      <c r="NW14" s="104"/>
      <c r="NX14" s="215" t="s">
        <v>25</v>
      </c>
      <c r="NY14" s="215"/>
      <c r="NZ14" s="215"/>
      <c r="OA14" s="215"/>
      <c r="OB14" s="129"/>
      <c r="OC14" s="129"/>
      <c r="OD14" s="214" t="s">
        <v>38</v>
      </c>
      <c r="OE14" s="214"/>
      <c r="OF14" s="214"/>
      <c r="OG14" s="214"/>
      <c r="OH14" s="104"/>
      <c r="OI14" s="104"/>
      <c r="OJ14" s="215" t="s">
        <v>26</v>
      </c>
      <c r="OK14" s="215"/>
      <c r="OL14" s="215"/>
      <c r="OM14" s="215"/>
      <c r="ON14" s="129"/>
      <c r="OO14" s="129"/>
      <c r="OP14" s="214" t="s">
        <v>39</v>
      </c>
      <c r="OQ14" s="214"/>
      <c r="OR14" s="214"/>
      <c r="OS14" s="214"/>
      <c r="OT14" s="104"/>
      <c r="OU14" s="104"/>
      <c r="OV14" s="215" t="s">
        <v>27</v>
      </c>
      <c r="OW14" s="215"/>
      <c r="OX14" s="215"/>
      <c r="OY14" s="215"/>
      <c r="OZ14" s="129"/>
      <c r="PA14" s="129"/>
      <c r="PB14" s="214" t="s">
        <v>40</v>
      </c>
      <c r="PC14" s="214"/>
      <c r="PD14" s="214"/>
      <c r="PE14" s="214"/>
      <c r="PF14" s="104"/>
      <c r="PG14" s="104"/>
      <c r="PH14" s="104"/>
      <c r="PI14" s="105"/>
      <c r="PJ14" s="103"/>
      <c r="PK14" s="104"/>
      <c r="PL14" s="104"/>
      <c r="PM14" s="104"/>
      <c r="PN14" s="214" t="s">
        <v>36</v>
      </c>
      <c r="PO14" s="214"/>
      <c r="PP14" s="214"/>
      <c r="PQ14" s="214"/>
      <c r="PR14" s="104"/>
      <c r="PS14" s="104"/>
      <c r="PT14" s="215" t="s">
        <v>24</v>
      </c>
      <c r="PU14" s="215"/>
      <c r="PV14" s="215"/>
      <c r="PW14" s="215"/>
      <c r="PX14" s="129"/>
      <c r="PY14" s="129"/>
      <c r="PZ14" s="214" t="s">
        <v>37</v>
      </c>
      <c r="QA14" s="214"/>
      <c r="QB14" s="214"/>
      <c r="QC14" s="214"/>
      <c r="QD14" s="104"/>
      <c r="QE14" s="104"/>
      <c r="QF14" s="215" t="s">
        <v>25</v>
      </c>
      <c r="QG14" s="215"/>
      <c r="QH14" s="215"/>
      <c r="QI14" s="215"/>
      <c r="QJ14" s="129"/>
      <c r="QK14" s="129"/>
      <c r="QL14" s="214" t="s">
        <v>38</v>
      </c>
      <c r="QM14" s="214"/>
      <c r="QN14" s="214"/>
      <c r="QO14" s="214"/>
      <c r="QP14" s="104"/>
      <c r="QQ14" s="104"/>
      <c r="QR14" s="215" t="s">
        <v>26</v>
      </c>
      <c r="QS14" s="215"/>
      <c r="QT14" s="215"/>
      <c r="QU14" s="215"/>
      <c r="QV14" s="129"/>
      <c r="QW14" s="129"/>
      <c r="QX14" s="214" t="s">
        <v>39</v>
      </c>
      <c r="QY14" s="214"/>
      <c r="QZ14" s="214"/>
      <c r="RA14" s="214"/>
      <c r="RB14" s="104"/>
      <c r="RC14" s="104"/>
      <c r="RD14" s="215" t="s">
        <v>27</v>
      </c>
      <c r="RE14" s="215"/>
      <c r="RF14" s="215"/>
      <c r="RG14" s="215"/>
      <c r="RH14" s="129"/>
      <c r="RI14" s="129"/>
      <c r="RJ14" s="214" t="s">
        <v>40</v>
      </c>
      <c r="RK14" s="214"/>
      <c r="RL14" s="214"/>
      <c r="RM14" s="214"/>
      <c r="RN14" s="104"/>
      <c r="RO14" s="104"/>
      <c r="RP14" s="104"/>
      <c r="RQ14" s="105"/>
      <c r="RR14" s="90"/>
    </row>
    <row r="15" spans="1:486" ht="20.100000000000001" customHeight="1" x14ac:dyDescent="0.25">
      <c r="A15" s="100" t="s">
        <v>20</v>
      </c>
      <c r="B15" s="63" t="str">
        <f>IF(LEN(C15)=0,"",C15)</f>
        <v xml:space="preserve">Absences - imprévus </v>
      </c>
      <c r="C15" s="201" t="s">
        <v>4</v>
      </c>
      <c r="D15" s="149" t="str">
        <f>setValueToTime(E15)</f>
        <v>1h30min</v>
      </c>
      <c r="E15" s="31">
        <v>18</v>
      </c>
      <c r="F15" s="180"/>
      <c r="G15" s="181"/>
      <c r="H15" s="181"/>
      <c r="I15" s="181"/>
      <c r="J15" s="182"/>
      <c r="K15" s="183"/>
      <c r="L15" s="182"/>
      <c r="M15" s="182"/>
      <c r="N15" s="182"/>
      <c r="O15" s="182"/>
      <c r="P15" s="182"/>
      <c r="Q15" s="184"/>
      <c r="R15" s="182"/>
      <c r="S15" s="182"/>
      <c r="T15" s="182"/>
      <c r="U15" s="182"/>
      <c r="V15" s="182"/>
      <c r="W15" s="185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90"/>
    </row>
    <row r="16" spans="1:486" ht="20.100000000000001" customHeight="1" x14ac:dyDescent="0.25">
      <c r="A16" s="100" t="s">
        <v>21</v>
      </c>
      <c r="B16" s="63" t="str">
        <f>IF(LEN(C17)=0,"",C17)</f>
        <v>Analyse - Planification initiale</v>
      </c>
      <c r="C16" s="203"/>
      <c r="D16" s="147" t="str">
        <f t="shared" ref="D16:D79" si="0">setValueToTime(E16)</f>
        <v>1h30min</v>
      </c>
      <c r="E16" s="35">
        <v>18</v>
      </c>
      <c r="F16" s="186"/>
      <c r="G16" s="187"/>
      <c r="H16" s="187"/>
      <c r="I16" s="187"/>
      <c r="J16" s="188"/>
      <c r="K16" s="189"/>
      <c r="L16" s="188"/>
      <c r="M16" s="188"/>
      <c r="N16" s="188"/>
      <c r="O16" s="188"/>
      <c r="P16" s="188"/>
      <c r="Q16" s="190"/>
      <c r="R16" s="188"/>
      <c r="S16" s="188"/>
      <c r="T16" s="188"/>
      <c r="U16" s="188"/>
      <c r="V16" s="188"/>
      <c r="W16" s="191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90"/>
    </row>
    <row r="17" spans="1:486" ht="20.100000000000001" customHeight="1" x14ac:dyDescent="0.25">
      <c r="A17" s="100" t="s">
        <v>20</v>
      </c>
      <c r="B17" s="63" t="str">
        <f>IF(LEN(C19)=0,"",C19)</f>
        <v>Réalisation - Interfaces</v>
      </c>
      <c r="C17" s="201" t="s">
        <v>32</v>
      </c>
      <c r="D17" s="146" t="str">
        <f t="shared" si="0"/>
        <v>0h</v>
      </c>
      <c r="E17" s="31">
        <v>0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90"/>
    </row>
    <row r="18" spans="1:486" ht="20.100000000000001" customHeight="1" x14ac:dyDescent="0.3">
      <c r="A18" s="100" t="s">
        <v>21</v>
      </c>
      <c r="B18" s="63" t="str">
        <f>IF(LEN(C21)=0,"",C21)</f>
        <v>Réalisation - Calendrier</v>
      </c>
      <c r="C18" s="203"/>
      <c r="D18" s="148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90"/>
    </row>
    <row r="19" spans="1:486" ht="20.100000000000001" customHeight="1" x14ac:dyDescent="0.25">
      <c r="A19" s="100" t="s">
        <v>20</v>
      </c>
      <c r="B19" s="63" t="str">
        <f>IF(LEN(C23)=0,"",C23)</f>
        <v>Réalisation - Ajout des tâches</v>
      </c>
      <c r="C19" s="201" t="s">
        <v>33</v>
      </c>
      <c r="D19" s="146" t="str">
        <f t="shared" si="0"/>
        <v>8h15min</v>
      </c>
      <c r="E19" s="39">
        <v>99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176"/>
      <c r="Y19" s="176"/>
      <c r="Z19" s="176"/>
      <c r="AA19" s="176"/>
      <c r="AB19" s="176"/>
      <c r="AC19" s="178"/>
      <c r="AD19" s="176"/>
      <c r="AE19" s="176"/>
      <c r="AF19" s="176"/>
      <c r="AG19" s="176"/>
      <c r="AH19" s="176"/>
      <c r="AI19" s="179"/>
      <c r="AJ19" s="175"/>
      <c r="AK19" s="175"/>
      <c r="AL19" s="175"/>
      <c r="AM19" s="175"/>
      <c r="AN19" s="176"/>
      <c r="AO19" s="178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174"/>
      <c r="DW19" s="175"/>
      <c r="DX19" s="175"/>
      <c r="DY19" s="175"/>
      <c r="DZ19" s="176"/>
      <c r="EA19" s="177"/>
      <c r="EB19" s="176"/>
      <c r="EC19" s="176"/>
      <c r="ED19" s="176"/>
      <c r="EE19" s="176"/>
      <c r="EF19" s="176"/>
      <c r="EG19" s="178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176"/>
      <c r="GQ19" s="176"/>
      <c r="GR19" s="176"/>
      <c r="GS19" s="176"/>
      <c r="GT19" s="176"/>
      <c r="GU19" s="179"/>
      <c r="GV19" s="176"/>
      <c r="GW19" s="176"/>
      <c r="GX19" s="176"/>
      <c r="GY19" s="176"/>
      <c r="GZ19" s="176"/>
      <c r="HA19" s="178"/>
      <c r="HB19" s="176"/>
      <c r="HC19" s="176"/>
      <c r="HD19" s="176"/>
      <c r="HE19" s="176"/>
      <c r="HF19" s="176"/>
      <c r="HG19" s="179"/>
      <c r="HH19" s="175"/>
      <c r="HI19" s="175"/>
      <c r="HJ19" s="175"/>
      <c r="HK19" s="175"/>
      <c r="HL19" s="176"/>
      <c r="HM19" s="178"/>
      <c r="HN19" s="176"/>
      <c r="HO19" s="176"/>
      <c r="HP19" s="176"/>
      <c r="HQ19" s="176"/>
      <c r="HR19" s="176"/>
      <c r="HS19" s="179"/>
      <c r="HT19" s="176"/>
      <c r="HU19" s="176"/>
      <c r="HV19" s="176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174"/>
      <c r="IM19" s="175"/>
      <c r="IN19" s="175"/>
      <c r="IO19" s="175"/>
      <c r="IP19" s="176"/>
      <c r="IQ19" s="177"/>
      <c r="IR19" s="176"/>
      <c r="IS19" s="176"/>
      <c r="IT19" s="176"/>
      <c r="IU19" s="176"/>
      <c r="IV19" s="176"/>
      <c r="IW19" s="178"/>
      <c r="IX19" s="176"/>
      <c r="IY19" s="176"/>
      <c r="IZ19" s="176"/>
      <c r="JA19" s="176"/>
      <c r="JB19" s="176"/>
      <c r="JC19" s="179"/>
      <c r="JD19" s="176"/>
      <c r="JE19" s="176"/>
      <c r="JF19" s="176"/>
      <c r="JG19" s="176"/>
      <c r="JH19" s="176"/>
      <c r="JI19" s="178"/>
      <c r="JJ19" s="176"/>
      <c r="JK19" s="176"/>
      <c r="JL19" s="176"/>
      <c r="JM19" s="176"/>
      <c r="JN19" s="176"/>
      <c r="JO19" s="179"/>
      <c r="JP19" s="175"/>
      <c r="JQ19" s="175"/>
      <c r="JR19" s="175"/>
      <c r="JS19" s="175"/>
      <c r="JT19" s="176"/>
      <c r="JU19" s="178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90"/>
    </row>
    <row r="20" spans="1:486" ht="20.100000000000001" customHeight="1" x14ac:dyDescent="0.25">
      <c r="A20" s="100" t="s">
        <v>21</v>
      </c>
      <c r="B20" s="63" t="str">
        <f>IF(LEN(C25)=0,"",C25)</f>
        <v>Réalisation - Ajout des groupes</v>
      </c>
      <c r="C20" s="202"/>
      <c r="D20" s="147" t="str">
        <f t="shared" si="0"/>
        <v>8h15min</v>
      </c>
      <c r="E20" s="27">
        <v>99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188"/>
      <c r="Y20" s="188"/>
      <c r="Z20" s="188"/>
      <c r="AA20" s="188"/>
      <c r="AB20" s="188"/>
      <c r="AC20" s="190"/>
      <c r="AD20" s="188"/>
      <c r="AE20" s="188"/>
      <c r="AF20" s="188"/>
      <c r="AG20" s="188"/>
      <c r="AH20" s="188"/>
      <c r="AI20" s="194"/>
      <c r="AJ20" s="187"/>
      <c r="AK20" s="187"/>
      <c r="AL20" s="187"/>
      <c r="AM20" s="187"/>
      <c r="AN20" s="188"/>
      <c r="AO20" s="190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186"/>
      <c r="BO20" s="187"/>
      <c r="BP20" s="187"/>
      <c r="BQ20" s="187"/>
      <c r="BR20" s="188"/>
      <c r="BS20" s="189"/>
      <c r="BT20" s="188"/>
      <c r="BU20" s="188"/>
      <c r="BV20" s="188"/>
      <c r="BW20" s="188"/>
      <c r="BX20" s="188"/>
      <c r="BY20" s="190"/>
      <c r="BZ20" s="188"/>
      <c r="CA20" s="188"/>
      <c r="CB20" s="188"/>
      <c r="CC20" s="188"/>
      <c r="CD20" s="188"/>
      <c r="CE20" s="194"/>
      <c r="CF20" s="188"/>
      <c r="CG20" s="188"/>
      <c r="CH20" s="188"/>
      <c r="CI20" s="188"/>
      <c r="CJ20" s="188"/>
      <c r="CK20" s="190"/>
      <c r="CL20" s="188"/>
      <c r="CM20" s="188"/>
      <c r="CN20" s="188"/>
      <c r="CO20" s="188"/>
      <c r="CP20" s="188"/>
      <c r="CQ20" s="194"/>
      <c r="CR20" s="187"/>
      <c r="CS20" s="187"/>
      <c r="CT20" s="187"/>
      <c r="CU20" s="187"/>
      <c r="CV20" s="188"/>
      <c r="CW20" s="190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188"/>
      <c r="GW20" s="188"/>
      <c r="GX20" s="188"/>
      <c r="GY20" s="188"/>
      <c r="GZ20" s="188"/>
      <c r="HA20" s="190"/>
      <c r="HB20" s="188"/>
      <c r="HC20" s="188"/>
      <c r="HD20" s="188"/>
      <c r="HE20" s="188"/>
      <c r="HF20" s="188"/>
      <c r="HG20" s="194"/>
      <c r="HH20" s="187"/>
      <c r="HI20" s="187"/>
      <c r="HJ20" s="187"/>
      <c r="HK20" s="187"/>
      <c r="HL20" s="188"/>
      <c r="HM20" s="190"/>
      <c r="HN20" s="188"/>
      <c r="HO20" s="188"/>
      <c r="HP20" s="188"/>
      <c r="HQ20" s="188"/>
      <c r="HR20" s="192"/>
      <c r="HS20" s="194"/>
      <c r="HT20" s="188"/>
      <c r="HU20" s="188"/>
      <c r="HV20" s="188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186"/>
      <c r="IM20" s="187"/>
      <c r="IN20" s="187"/>
      <c r="IO20" s="187"/>
      <c r="IP20" s="188"/>
      <c r="IQ20" s="189"/>
      <c r="IR20" s="188"/>
      <c r="IS20" s="188"/>
      <c r="IT20" s="188"/>
      <c r="IU20" s="188"/>
      <c r="IV20" s="188"/>
      <c r="IW20" s="190"/>
      <c r="IX20" s="188"/>
      <c r="IY20" s="188"/>
      <c r="IZ20" s="188"/>
      <c r="JA20" s="188"/>
      <c r="JB20" s="188"/>
      <c r="JC20" s="194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90"/>
    </row>
    <row r="21" spans="1:486" ht="20.100000000000001" customHeight="1" x14ac:dyDescent="0.25">
      <c r="A21" s="100" t="s">
        <v>20</v>
      </c>
      <c r="B21" s="63" t="str">
        <f>IF(LEN(C27)=0,"",C27)</f>
        <v>Réalisation - Suppression des tâches</v>
      </c>
      <c r="C21" s="201" t="s">
        <v>46</v>
      </c>
      <c r="D21" s="146" t="str">
        <f t="shared" si="0"/>
        <v>3h15min</v>
      </c>
      <c r="E21" s="31">
        <v>39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168"/>
      <c r="BO21" s="169"/>
      <c r="BP21" s="169"/>
      <c r="BQ21" s="169"/>
      <c r="BR21" s="170"/>
      <c r="BS21" s="171"/>
      <c r="BT21" s="170"/>
      <c r="BU21" s="170"/>
      <c r="BV21" s="170"/>
      <c r="BW21" s="170"/>
      <c r="BX21" s="170"/>
      <c r="BY21" s="172"/>
      <c r="BZ21" s="170"/>
      <c r="CA21" s="170"/>
      <c r="CB21" s="170"/>
      <c r="CC21" s="170"/>
      <c r="CD21" s="170"/>
      <c r="CE21" s="173"/>
      <c r="CF21" s="170"/>
      <c r="CG21" s="170"/>
      <c r="CH21" s="170"/>
      <c r="CI21" s="170"/>
      <c r="CJ21" s="170"/>
      <c r="CK21" s="172"/>
      <c r="CL21" s="170"/>
      <c r="CM21" s="170"/>
      <c r="CN21" s="170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168"/>
      <c r="GE21" s="169"/>
      <c r="GF21" s="169"/>
      <c r="GG21" s="169"/>
      <c r="GH21" s="170"/>
      <c r="GI21" s="171"/>
      <c r="GJ21" s="170"/>
      <c r="GK21" s="170"/>
      <c r="GL21" s="170"/>
      <c r="GM21" s="170"/>
      <c r="GN21" s="170"/>
      <c r="GO21" s="172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33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33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32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90"/>
    </row>
    <row r="22" spans="1:486" ht="20.100000000000001" customHeight="1" x14ac:dyDescent="0.25">
      <c r="A22" s="100" t="s">
        <v>21</v>
      </c>
      <c r="B22" s="63" t="str">
        <f>IF(LEN(C29)=0,"",C29)</f>
        <v>Réalisation - Suppression des groupes</v>
      </c>
      <c r="C22" s="202"/>
      <c r="D22" s="147" t="str">
        <f t="shared" si="0"/>
        <v>1h30min</v>
      </c>
      <c r="E22" s="35">
        <v>18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196"/>
      <c r="GE22" s="195"/>
      <c r="GF22" s="195"/>
      <c r="GG22" s="195"/>
      <c r="GH22" s="192"/>
      <c r="GI22" s="197"/>
      <c r="GJ22" s="192"/>
      <c r="GK22" s="192"/>
      <c r="GL22" s="192"/>
      <c r="GM22" s="192"/>
      <c r="GN22" s="192"/>
      <c r="GO22" s="193"/>
      <c r="GP22" s="192"/>
      <c r="GQ22" s="192"/>
      <c r="GR22" s="192"/>
      <c r="GS22" s="192"/>
      <c r="GT22" s="192"/>
      <c r="GU22" s="194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90"/>
    </row>
    <row r="23" spans="1:486" ht="20.100000000000001" customHeight="1" x14ac:dyDescent="0.25">
      <c r="A23" s="100" t="s">
        <v>20</v>
      </c>
      <c r="B23" s="63" t="str">
        <f>IF(LEN(C31)=0,"",C31)</f>
        <v>Doc - Journal de travail</v>
      </c>
      <c r="C23" s="201" t="s">
        <v>47</v>
      </c>
      <c r="D23" s="146" t="str">
        <f t="shared" si="0"/>
        <v>3h</v>
      </c>
      <c r="E23" s="39">
        <v>36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174"/>
      <c r="KU23" s="175"/>
      <c r="KV23" s="175"/>
      <c r="KW23" s="175"/>
      <c r="KX23" s="176"/>
      <c r="KY23" s="177"/>
      <c r="KZ23" s="176"/>
      <c r="LA23" s="176"/>
      <c r="LB23" s="176"/>
      <c r="LC23" s="176"/>
      <c r="LD23" s="176"/>
      <c r="LE23" s="178"/>
      <c r="LF23" s="176"/>
      <c r="LG23" s="176"/>
      <c r="LH23" s="176"/>
      <c r="LI23" s="176"/>
      <c r="LJ23" s="176"/>
      <c r="LK23" s="179"/>
      <c r="LL23" s="176"/>
      <c r="LM23" s="176"/>
      <c r="LN23" s="176"/>
      <c r="LO23" s="176"/>
      <c r="LP23" s="176"/>
      <c r="LQ23" s="178"/>
      <c r="LR23" s="176"/>
      <c r="LS23" s="176"/>
      <c r="LT23" s="176"/>
      <c r="LU23" s="176"/>
      <c r="LV23" s="176"/>
      <c r="LW23" s="179"/>
      <c r="LX23" s="175"/>
      <c r="LY23" s="175"/>
      <c r="LZ23" s="175"/>
      <c r="MA23" s="175"/>
      <c r="MB23" s="176"/>
      <c r="MC23" s="178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66"/>
      <c r="NE23" s="66"/>
      <c r="NF23" s="41"/>
      <c r="NG23" s="134"/>
      <c r="NH23" s="41"/>
      <c r="NI23" s="41"/>
      <c r="NJ23" s="41"/>
      <c r="NK23" s="41"/>
      <c r="NL23" s="41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41"/>
      <c r="NX23" s="41"/>
      <c r="NY23" s="139"/>
      <c r="NZ23" s="41"/>
      <c r="OA23" s="41"/>
      <c r="OB23" s="41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66"/>
      <c r="PL23" s="66"/>
      <c r="PM23" s="66"/>
      <c r="PN23" s="41"/>
      <c r="PO23" s="134"/>
      <c r="PP23" s="4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41"/>
      <c r="QF23" s="41"/>
      <c r="QG23" s="139"/>
      <c r="QH23" s="41"/>
      <c r="QI23" s="41"/>
      <c r="QJ23" s="41"/>
      <c r="QK23" s="41"/>
      <c r="QL23" s="41"/>
      <c r="QM23" s="76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90"/>
    </row>
    <row r="24" spans="1:486" ht="20.100000000000001" customHeight="1" x14ac:dyDescent="0.25">
      <c r="A24" s="100" t="s">
        <v>21</v>
      </c>
      <c r="B24" s="63" t="str">
        <f>IF(LEN(C33)=0,"",C33)</f>
        <v>Doc - Rapport</v>
      </c>
      <c r="C24" s="202"/>
      <c r="D24" s="147" t="str">
        <f t="shared" si="0"/>
        <v>1h30min</v>
      </c>
      <c r="E24" s="27">
        <v>18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186"/>
      <c r="KU24" s="187"/>
      <c r="KV24" s="187"/>
      <c r="KW24" s="187"/>
      <c r="KX24" s="188"/>
      <c r="KY24" s="189"/>
      <c r="KZ24" s="188"/>
      <c r="LA24" s="188"/>
      <c r="LB24" s="188"/>
      <c r="LC24" s="188"/>
      <c r="LD24" s="188"/>
      <c r="LE24" s="190"/>
      <c r="LF24" s="188"/>
      <c r="LG24" s="188"/>
      <c r="LH24" s="188"/>
      <c r="LI24" s="188"/>
      <c r="LJ24" s="188"/>
      <c r="LK24" s="191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90"/>
    </row>
    <row r="25" spans="1:486" ht="20.100000000000001" customHeight="1" x14ac:dyDescent="0.25">
      <c r="A25" s="100" t="s">
        <v>20</v>
      </c>
      <c r="B25" s="63" t="str">
        <f>IF(LEN(C35)=0,"",C35)</f>
        <v>Recherche - Spécifications techniques</v>
      </c>
      <c r="C25" s="201" t="s">
        <v>48</v>
      </c>
      <c r="D25" s="146" t="str">
        <f t="shared" si="0"/>
        <v>3h</v>
      </c>
      <c r="E25" s="31">
        <v>36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168"/>
      <c r="NC25" s="169"/>
      <c r="ND25" s="169"/>
      <c r="NE25" s="169"/>
      <c r="NF25" s="170"/>
      <c r="NG25" s="171"/>
      <c r="NH25" s="170"/>
      <c r="NI25" s="170"/>
      <c r="NJ25" s="170"/>
      <c r="NK25" s="170"/>
      <c r="NL25" s="170"/>
      <c r="NM25" s="172"/>
      <c r="NN25" s="170"/>
      <c r="NO25" s="170"/>
      <c r="NP25" s="170"/>
      <c r="NQ25" s="170"/>
      <c r="NR25" s="170"/>
      <c r="NS25" s="173"/>
      <c r="NT25" s="170"/>
      <c r="NU25" s="170"/>
      <c r="NV25" s="170"/>
      <c r="NW25" s="170"/>
      <c r="NX25" s="170"/>
      <c r="NY25" s="172"/>
      <c r="NZ25" s="170"/>
      <c r="OA25" s="170"/>
      <c r="OB25" s="170"/>
      <c r="OC25" s="170"/>
      <c r="OD25" s="170"/>
      <c r="OE25" s="173"/>
      <c r="OF25" s="169"/>
      <c r="OG25" s="169"/>
      <c r="OH25" s="169"/>
      <c r="OI25" s="169"/>
      <c r="OJ25" s="170"/>
      <c r="OK25" s="172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90"/>
    </row>
    <row r="26" spans="1:486" ht="20.100000000000001" customHeight="1" x14ac:dyDescent="0.3">
      <c r="A26" s="100" t="s">
        <v>21</v>
      </c>
      <c r="B26" s="63" t="str">
        <f>IF(LEN(C37)=0,"",C37)</f>
        <v/>
      </c>
      <c r="C26" s="203"/>
      <c r="D26" s="148" t="str">
        <f t="shared" si="0"/>
        <v>1h30min</v>
      </c>
      <c r="E26" s="35">
        <v>18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192"/>
      <c r="LM26" s="192"/>
      <c r="LN26" s="192"/>
      <c r="LO26" s="192"/>
      <c r="LP26" s="192"/>
      <c r="LQ26" s="193"/>
      <c r="LR26" s="192"/>
      <c r="LS26" s="192"/>
      <c r="LT26" s="192"/>
      <c r="LU26" s="192"/>
      <c r="LV26" s="192"/>
      <c r="LW26" s="194"/>
      <c r="LX26" s="195"/>
      <c r="LY26" s="195"/>
      <c r="LZ26" s="195"/>
      <c r="MA26" s="195"/>
      <c r="MB26" s="192"/>
      <c r="MC26" s="193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90"/>
    </row>
    <row r="27" spans="1:486" ht="20.100000000000001" customHeight="1" x14ac:dyDescent="0.25">
      <c r="A27" s="100" t="s">
        <v>20</v>
      </c>
      <c r="B27" s="63" t="str">
        <f>IF(LEN(C39)=0,"",C39)</f>
        <v/>
      </c>
      <c r="C27" s="201" t="s">
        <v>49</v>
      </c>
      <c r="D27" s="146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90"/>
    </row>
    <row r="28" spans="1:486" ht="20.100000000000001" customHeight="1" x14ac:dyDescent="0.3">
      <c r="A28" s="100" t="s">
        <v>21</v>
      </c>
      <c r="B28" s="63" t="str">
        <f>IF(LEN(C41)=0,"",C41)</f>
        <v/>
      </c>
      <c r="C28" s="203"/>
      <c r="D28" s="148" t="str">
        <f t="shared" si="0"/>
        <v>3h</v>
      </c>
      <c r="E28" s="27">
        <v>36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186"/>
      <c r="NC28" s="187"/>
      <c r="ND28" s="187"/>
      <c r="NE28" s="187"/>
      <c r="NF28" s="188"/>
      <c r="NG28" s="189"/>
      <c r="NH28" s="188"/>
      <c r="NI28" s="188"/>
      <c r="NJ28" s="188"/>
      <c r="NK28" s="188"/>
      <c r="NL28" s="188"/>
      <c r="NM28" s="190"/>
      <c r="NN28" s="188"/>
      <c r="NO28" s="188"/>
      <c r="NP28" s="188"/>
      <c r="NQ28" s="188"/>
      <c r="NR28" s="188"/>
      <c r="NS28" s="191"/>
      <c r="NT28" s="188"/>
      <c r="NU28" s="188"/>
      <c r="NV28" s="188"/>
      <c r="NW28" s="188"/>
      <c r="NX28" s="188"/>
      <c r="NY28" s="190"/>
      <c r="NZ28" s="188"/>
      <c r="OA28" s="188"/>
      <c r="OB28" s="188"/>
      <c r="OC28" s="188"/>
      <c r="OD28" s="188"/>
      <c r="OE28" s="191"/>
      <c r="OF28" s="187"/>
      <c r="OG28" s="187"/>
      <c r="OH28" s="187"/>
      <c r="OI28" s="187"/>
      <c r="OJ28" s="188"/>
      <c r="OK28" s="190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90"/>
    </row>
    <row r="29" spans="1:486" ht="20.100000000000001" customHeight="1" x14ac:dyDescent="0.25">
      <c r="A29" s="100" t="s">
        <v>20</v>
      </c>
      <c r="B29" s="63" t="str">
        <f>IF(LEN(C43)=0,"",C43)</f>
        <v/>
      </c>
      <c r="C29" s="201" t="s">
        <v>50</v>
      </c>
      <c r="D29" s="146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90"/>
    </row>
    <row r="30" spans="1:486" ht="20.100000000000001" customHeight="1" x14ac:dyDescent="0.3">
      <c r="A30" s="100" t="s">
        <v>21</v>
      </c>
      <c r="B30" s="63" t="str">
        <f>IF(LEN(C45)=0,"",C45)</f>
        <v/>
      </c>
      <c r="C30" s="203"/>
      <c r="D30" s="148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90"/>
    </row>
    <row r="31" spans="1:486" ht="20.100000000000001" customHeight="1" x14ac:dyDescent="0.25">
      <c r="A31" s="100" t="s">
        <v>20</v>
      </c>
      <c r="B31" s="63" t="str">
        <f>IF(LEN(C47)=0,"",C47)</f>
        <v/>
      </c>
      <c r="C31" s="201" t="s">
        <v>17</v>
      </c>
      <c r="D31" s="146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90"/>
    </row>
    <row r="32" spans="1:486" ht="20.100000000000001" customHeight="1" x14ac:dyDescent="0.3">
      <c r="A32" s="100" t="s">
        <v>21</v>
      </c>
      <c r="B32" s="63" t="str">
        <f>IF(LEN(C49)=0,"",C49)</f>
        <v/>
      </c>
      <c r="C32" s="203"/>
      <c r="D32" s="148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90"/>
    </row>
    <row r="33" spans="1:486" ht="20.100000000000001" customHeight="1" x14ac:dyDescent="0.25">
      <c r="A33" s="100" t="s">
        <v>20</v>
      </c>
      <c r="B33" s="63" t="str">
        <f>IF(LEN(C51)=0,"",C51)</f>
        <v/>
      </c>
      <c r="C33" s="201" t="s">
        <v>16</v>
      </c>
      <c r="D33" s="146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33"/>
      <c r="LG33" s="33"/>
      <c r="LH33" s="33"/>
      <c r="LI33" s="33"/>
      <c r="LJ33" s="33"/>
      <c r="LK33" s="74"/>
      <c r="LL33" s="33"/>
      <c r="LM33" s="33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32"/>
      <c r="NC33" s="64"/>
      <c r="ND33" s="64"/>
      <c r="NE33" s="64"/>
      <c r="NF33" s="33"/>
      <c r="NG33" s="132"/>
      <c r="NH33" s="33"/>
      <c r="NI33" s="33"/>
      <c r="NJ33" s="33"/>
      <c r="NK33" s="33"/>
      <c r="NL33" s="33"/>
      <c r="NM33" s="137"/>
      <c r="NN33" s="33"/>
      <c r="NO33" s="33"/>
      <c r="NP33" s="33"/>
      <c r="NQ33" s="33"/>
      <c r="NR33" s="33"/>
      <c r="NS33" s="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33"/>
      <c r="PR33" s="33"/>
      <c r="PS33" s="33"/>
      <c r="PT33" s="33"/>
      <c r="PU33" s="137"/>
      <c r="PV33" s="33"/>
      <c r="PW33" s="33"/>
      <c r="PX33" s="33"/>
      <c r="PY33" s="33"/>
      <c r="PZ33" s="33"/>
      <c r="QA33" s="74"/>
      <c r="QB33" s="33"/>
      <c r="QC33" s="33"/>
      <c r="QD33" s="33"/>
      <c r="QE33" s="33"/>
      <c r="QF33" s="33"/>
      <c r="QG33" s="137"/>
      <c r="QH33" s="33"/>
      <c r="QI33" s="33"/>
      <c r="QJ33" s="33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90"/>
    </row>
    <row r="34" spans="1:486" ht="20.100000000000001" customHeight="1" x14ac:dyDescent="0.3">
      <c r="A34" s="100" t="s">
        <v>21</v>
      </c>
      <c r="B34" s="63" t="str">
        <f>IF(LEN(C53)=0,"",C53)</f>
        <v/>
      </c>
      <c r="C34" s="203"/>
      <c r="D34" s="148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90"/>
    </row>
    <row r="35" spans="1:486" ht="20.100000000000001" customHeight="1" x14ac:dyDescent="0.25">
      <c r="A35" s="100" t="s">
        <v>20</v>
      </c>
      <c r="B35" s="63" t="str">
        <f>IF(LEN(C55)=0,"",C55)</f>
        <v/>
      </c>
      <c r="C35" s="201" t="s">
        <v>54</v>
      </c>
      <c r="D35" s="146" t="str">
        <f t="shared" si="0"/>
        <v>2h</v>
      </c>
      <c r="E35" s="39">
        <v>24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176"/>
      <c r="EI35" s="176"/>
      <c r="EJ35" s="176"/>
      <c r="EK35" s="176"/>
      <c r="EL35" s="176"/>
      <c r="EM35" s="179"/>
      <c r="EN35" s="176"/>
      <c r="EO35" s="176"/>
      <c r="EP35" s="176"/>
      <c r="EQ35" s="176"/>
      <c r="ER35" s="176"/>
      <c r="ES35" s="178"/>
      <c r="ET35" s="176"/>
      <c r="EU35" s="176"/>
      <c r="EV35" s="176"/>
      <c r="EW35" s="176"/>
      <c r="EX35" s="176"/>
      <c r="EY35" s="179"/>
      <c r="EZ35" s="175"/>
      <c r="FA35" s="175"/>
      <c r="FB35" s="175"/>
      <c r="FC35" s="175"/>
      <c r="FD35" s="176"/>
      <c r="FE35" s="178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90"/>
    </row>
    <row r="36" spans="1:486" ht="20.100000000000001" customHeight="1" x14ac:dyDescent="0.25">
      <c r="A36" s="100" t="s">
        <v>21</v>
      </c>
      <c r="B36" s="63" t="str">
        <f>IF(LEN(C57)=0,"",C57)</f>
        <v/>
      </c>
      <c r="C36" s="202"/>
      <c r="D36" s="147" t="str">
        <f t="shared" si="0"/>
        <v>4h30min</v>
      </c>
      <c r="E36" s="27">
        <v>54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186"/>
      <c r="DW36" s="187"/>
      <c r="DX36" s="187"/>
      <c r="DY36" s="187"/>
      <c r="DZ36" s="188"/>
      <c r="EA36" s="189"/>
      <c r="EB36" s="188"/>
      <c r="EC36" s="188"/>
      <c r="ED36" s="188"/>
      <c r="EE36" s="188"/>
      <c r="EF36" s="188"/>
      <c r="EG36" s="190"/>
      <c r="EH36" s="188"/>
      <c r="EI36" s="188"/>
      <c r="EJ36" s="188"/>
      <c r="EK36" s="188"/>
      <c r="EL36" s="188"/>
      <c r="EM36" s="191"/>
      <c r="EN36" s="188"/>
      <c r="EO36" s="188"/>
      <c r="EP36" s="188"/>
      <c r="EQ36" s="188"/>
      <c r="ER36" s="188"/>
      <c r="ES36" s="190"/>
      <c r="ET36" s="188"/>
      <c r="EU36" s="188"/>
      <c r="EV36" s="188"/>
      <c r="EW36" s="188"/>
      <c r="EX36" s="188"/>
      <c r="EY36" s="191"/>
      <c r="EZ36" s="187"/>
      <c r="FA36" s="187"/>
      <c r="FB36" s="187"/>
      <c r="FC36" s="187"/>
      <c r="FD36" s="188"/>
      <c r="FE36" s="190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188"/>
      <c r="JE36" s="188"/>
      <c r="JF36" s="188"/>
      <c r="JG36" s="188"/>
      <c r="JH36" s="188"/>
      <c r="JI36" s="190"/>
      <c r="JJ36" s="188"/>
      <c r="JK36" s="188"/>
      <c r="JL36" s="188"/>
      <c r="JM36" s="188"/>
      <c r="JN36" s="188"/>
      <c r="JO36" s="191"/>
      <c r="JP36" s="187"/>
      <c r="JQ36" s="187"/>
      <c r="JR36" s="187"/>
      <c r="JS36" s="187"/>
      <c r="JT36" s="188"/>
      <c r="JU36" s="190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90"/>
    </row>
    <row r="37" spans="1:486" ht="20.100000000000001" customHeight="1" x14ac:dyDescent="0.25">
      <c r="A37" s="100" t="s">
        <v>20</v>
      </c>
      <c r="B37" s="63" t="str">
        <f>IF(LEN(C59)=0,"",C59)</f>
        <v/>
      </c>
      <c r="C37" s="201"/>
      <c r="D37" s="146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90"/>
    </row>
    <row r="38" spans="1:486" ht="20.100000000000001" customHeight="1" x14ac:dyDescent="0.3">
      <c r="A38" s="100" t="s">
        <v>21</v>
      </c>
      <c r="B38" s="63" t="str">
        <f>IF(LEN(C61)=0,"",C61)</f>
        <v/>
      </c>
      <c r="C38" s="203"/>
      <c r="D38" s="148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90"/>
    </row>
    <row r="39" spans="1:486" ht="20.100000000000001" customHeight="1" x14ac:dyDescent="0.25">
      <c r="A39" s="100" t="s">
        <v>20</v>
      </c>
      <c r="B39" s="63" t="str">
        <f>IF(LEN(C63)=0,"",C63)</f>
        <v/>
      </c>
      <c r="C39" s="201"/>
      <c r="D39" s="146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90"/>
    </row>
    <row r="40" spans="1:486" ht="20.100000000000001" customHeight="1" x14ac:dyDescent="0.25">
      <c r="A40" s="100" t="s">
        <v>21</v>
      </c>
      <c r="B40" s="63" t="str">
        <f>IF(LEN(C65)=0,"",C65)</f>
        <v/>
      </c>
      <c r="C40" s="202"/>
      <c r="D40" s="147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90"/>
    </row>
    <row r="41" spans="1:486" ht="20.100000000000001" customHeight="1" x14ac:dyDescent="0.25">
      <c r="A41" s="100" t="s">
        <v>20</v>
      </c>
      <c r="B41" s="63" t="str">
        <f>IF(LEN(C67)=0,"",C67)</f>
        <v/>
      </c>
      <c r="C41" s="201"/>
      <c r="D41" s="146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90"/>
    </row>
    <row r="42" spans="1:486" ht="20.100000000000001" customHeight="1" x14ac:dyDescent="0.3">
      <c r="A42" s="100" t="s">
        <v>21</v>
      </c>
      <c r="B42" s="63" t="str">
        <f>IF(LEN(C69)=0,"",C69)</f>
        <v/>
      </c>
      <c r="C42" s="203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90"/>
    </row>
    <row r="43" spans="1:486" ht="20.100000000000001" customHeight="1" x14ac:dyDescent="0.25">
      <c r="A43" s="100" t="s">
        <v>20</v>
      </c>
      <c r="B43" s="63" t="str">
        <f>IF(LEN(C71)=0,"",C71)</f>
        <v/>
      </c>
      <c r="C43" s="201"/>
      <c r="D43" s="146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90"/>
    </row>
    <row r="44" spans="1:486" ht="20.100000000000001" customHeight="1" x14ac:dyDescent="0.3">
      <c r="A44" s="100" t="s">
        <v>21</v>
      </c>
      <c r="B44" s="63" t="str">
        <f>IF(LEN(C73)=0,"",C73)</f>
        <v/>
      </c>
      <c r="C44" s="203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90"/>
    </row>
    <row r="45" spans="1:486" ht="20.100000000000001" customHeight="1" x14ac:dyDescent="0.25">
      <c r="A45" s="100" t="s">
        <v>20</v>
      </c>
      <c r="B45" s="63" t="str">
        <f>IF(LEN(C75)=0,"",C75)</f>
        <v/>
      </c>
      <c r="C45" s="201"/>
      <c r="D45" s="146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90"/>
    </row>
    <row r="46" spans="1:486" ht="20.100000000000001" customHeight="1" x14ac:dyDescent="0.25">
      <c r="A46" s="100" t="s">
        <v>21</v>
      </c>
      <c r="B46" s="63" t="str">
        <f>IF(LEN(C77)=0,"",C77)</f>
        <v/>
      </c>
      <c r="C46" s="202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90"/>
    </row>
    <row r="47" spans="1:486" ht="20.100000000000001" customHeight="1" x14ac:dyDescent="0.25">
      <c r="A47" s="100" t="s">
        <v>20</v>
      </c>
      <c r="B47" s="63" t="str">
        <f>IF(LEN(C79)=0,"",C79)</f>
        <v/>
      </c>
      <c r="C47" s="201"/>
      <c r="D47" s="146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90"/>
    </row>
    <row r="48" spans="1:486" ht="20.100000000000001" customHeight="1" x14ac:dyDescent="0.3">
      <c r="A48" s="100" t="s">
        <v>21</v>
      </c>
      <c r="B48" s="63" t="str">
        <f>IF(LEN(C81)=0,"",C81)</f>
        <v/>
      </c>
      <c r="C48" s="203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90"/>
    </row>
    <row r="49" spans="1:486" ht="20.100000000000001" customHeight="1" x14ac:dyDescent="0.25">
      <c r="A49" s="100" t="s">
        <v>20</v>
      </c>
      <c r="B49" s="63" t="str">
        <f>IF(LEN(C83)=0,"",C83)</f>
        <v/>
      </c>
      <c r="C49" s="201"/>
      <c r="D49" s="146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90"/>
    </row>
    <row r="50" spans="1:486" ht="20.100000000000001" customHeight="1" x14ac:dyDescent="0.3">
      <c r="A50" s="100" t="s">
        <v>21</v>
      </c>
      <c r="B50" s="63" t="str">
        <f>IF(LEN(C85)=0,"",C85)</f>
        <v/>
      </c>
      <c r="C50" s="203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90"/>
    </row>
    <row r="51" spans="1:486" ht="20.100000000000001" customHeight="1" x14ac:dyDescent="0.25">
      <c r="A51" s="100" t="s">
        <v>20</v>
      </c>
      <c r="B51" s="63" t="str">
        <f>IF(LEN(C87)=0,"",C87)</f>
        <v/>
      </c>
      <c r="C51" s="201"/>
      <c r="D51" s="146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90"/>
    </row>
    <row r="52" spans="1:486" ht="20.100000000000001" customHeight="1" x14ac:dyDescent="0.25">
      <c r="A52" s="100" t="s">
        <v>21</v>
      </c>
      <c r="B52" s="63" t="str">
        <f>IF(LEN(C89)=0,"",C89)</f>
        <v/>
      </c>
      <c r="C52" s="202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90"/>
    </row>
    <row r="53" spans="1:486" ht="20.100000000000001" customHeight="1" x14ac:dyDescent="0.25">
      <c r="A53" s="100" t="s">
        <v>20</v>
      </c>
      <c r="B53" s="63" t="str">
        <f>IF(LEN(C91)=0,"",C91)</f>
        <v/>
      </c>
      <c r="C53" s="201"/>
      <c r="D53" s="146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90"/>
    </row>
    <row r="54" spans="1:486" ht="20.100000000000001" customHeight="1" x14ac:dyDescent="0.3">
      <c r="A54" s="100" t="s">
        <v>21</v>
      </c>
      <c r="B54" s="63" t="str">
        <f>IF(LEN(C93)=0,"",C93)</f>
        <v/>
      </c>
      <c r="C54" s="203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90"/>
    </row>
    <row r="55" spans="1:486" ht="20.100000000000001" customHeight="1" x14ac:dyDescent="0.25">
      <c r="A55" s="100" t="s">
        <v>20</v>
      </c>
      <c r="B55" s="63"/>
      <c r="C55" s="201"/>
      <c r="D55" s="146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90"/>
    </row>
    <row r="56" spans="1:486" ht="20.100000000000001" customHeight="1" x14ac:dyDescent="0.25">
      <c r="A56" s="100" t="s">
        <v>21</v>
      </c>
      <c r="B56" s="63"/>
      <c r="C56" s="202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90"/>
    </row>
    <row r="57" spans="1:486" ht="20.100000000000001" customHeight="1" x14ac:dyDescent="0.25">
      <c r="A57" s="100" t="s">
        <v>20</v>
      </c>
      <c r="B57" s="63"/>
      <c r="C57" s="201"/>
      <c r="D57" s="146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90"/>
    </row>
    <row r="58" spans="1:486" ht="20.100000000000001" customHeight="1" x14ac:dyDescent="0.3">
      <c r="A58" s="100" t="s">
        <v>21</v>
      </c>
      <c r="B58" s="63"/>
      <c r="C58" s="203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90"/>
    </row>
    <row r="59" spans="1:486" ht="20.100000000000001" customHeight="1" x14ac:dyDescent="0.25">
      <c r="A59" s="100" t="s">
        <v>20</v>
      </c>
      <c r="B59" s="63"/>
      <c r="C59" s="201"/>
      <c r="D59" s="146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90"/>
    </row>
    <row r="60" spans="1:486" ht="20.100000000000001" customHeight="1" x14ac:dyDescent="0.3">
      <c r="A60" s="100" t="s">
        <v>21</v>
      </c>
      <c r="B60" s="63"/>
      <c r="C60" s="203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90"/>
    </row>
    <row r="61" spans="1:486" ht="20.100000000000001" customHeight="1" x14ac:dyDescent="0.25">
      <c r="A61" s="100" t="s">
        <v>20</v>
      </c>
      <c r="B61" s="63"/>
      <c r="C61" s="201"/>
      <c r="D61" s="146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90"/>
    </row>
    <row r="62" spans="1:486" ht="20.100000000000001" customHeight="1" x14ac:dyDescent="0.25">
      <c r="A62" s="100" t="s">
        <v>21</v>
      </c>
      <c r="B62" s="63"/>
      <c r="C62" s="202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90"/>
    </row>
    <row r="63" spans="1:486" ht="20.100000000000001" customHeight="1" x14ac:dyDescent="0.25">
      <c r="A63" s="100" t="s">
        <v>20</v>
      </c>
      <c r="B63" s="63"/>
      <c r="C63" s="201"/>
      <c r="D63" s="146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90"/>
    </row>
    <row r="64" spans="1:486" ht="20.100000000000001" customHeight="1" x14ac:dyDescent="0.3">
      <c r="A64" s="100" t="s">
        <v>21</v>
      </c>
      <c r="B64" s="63"/>
      <c r="C64" s="203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90"/>
    </row>
    <row r="65" spans="1:486" ht="20.100000000000001" customHeight="1" x14ac:dyDescent="0.25">
      <c r="A65" s="100" t="s">
        <v>20</v>
      </c>
      <c r="B65" s="63"/>
      <c r="C65" s="201"/>
      <c r="D65" s="146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90"/>
    </row>
    <row r="66" spans="1:486" ht="20.100000000000001" customHeight="1" x14ac:dyDescent="0.3">
      <c r="A66" s="100" t="s">
        <v>21</v>
      </c>
      <c r="B66" s="63"/>
      <c r="C66" s="203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90"/>
    </row>
    <row r="67" spans="1:486" ht="20.100000000000001" customHeight="1" x14ac:dyDescent="0.25">
      <c r="A67" s="100" t="s">
        <v>20</v>
      </c>
      <c r="B67" s="63"/>
      <c r="C67" s="201"/>
      <c r="D67" s="146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90"/>
    </row>
    <row r="68" spans="1:486" ht="20.100000000000001" customHeight="1" x14ac:dyDescent="0.25">
      <c r="A68" s="100" t="s">
        <v>21</v>
      </c>
      <c r="B68" s="63"/>
      <c r="C68" s="202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90"/>
    </row>
    <row r="69" spans="1:486" ht="20.100000000000001" customHeight="1" x14ac:dyDescent="0.25">
      <c r="A69" s="100" t="s">
        <v>20</v>
      </c>
      <c r="B69" s="63"/>
      <c r="C69" s="201"/>
      <c r="D69" s="146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90"/>
    </row>
    <row r="70" spans="1:486" ht="20.100000000000001" customHeight="1" x14ac:dyDescent="0.3">
      <c r="A70" s="100" t="s">
        <v>21</v>
      </c>
      <c r="B70" s="63"/>
      <c r="C70" s="203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90"/>
    </row>
    <row r="71" spans="1:486" ht="20.100000000000001" customHeight="1" x14ac:dyDescent="0.25">
      <c r="A71" s="100" t="s">
        <v>20</v>
      </c>
      <c r="B71" s="63"/>
      <c r="C71" s="201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40"/>
      <c r="PK71" s="66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90"/>
    </row>
    <row r="72" spans="1:486" ht="20.100000000000001" customHeight="1" x14ac:dyDescent="0.25">
      <c r="A72" s="100" t="s">
        <v>21</v>
      </c>
      <c r="B72" s="63"/>
      <c r="C72" s="202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90"/>
    </row>
    <row r="73" spans="1:486" ht="20.100000000000001" customHeight="1" x14ac:dyDescent="0.25">
      <c r="A73" s="100" t="s">
        <v>20</v>
      </c>
      <c r="B73" s="63"/>
      <c r="C73" s="201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64"/>
      <c r="PM73" s="64"/>
      <c r="PN73" s="33"/>
      <c r="PO73" s="132"/>
      <c r="PP73" s="33"/>
      <c r="PQ73" s="33"/>
      <c r="PR73" s="33"/>
      <c r="PS73" s="33"/>
      <c r="PT73" s="33"/>
      <c r="PU73" s="137"/>
      <c r="PV73" s="33"/>
      <c r="PW73" s="33"/>
      <c r="PX73" s="33"/>
      <c r="PY73" s="33"/>
      <c r="PZ73" s="33"/>
      <c r="QA73" s="74"/>
      <c r="QB73" s="33"/>
      <c r="QC73" s="33"/>
      <c r="QD73" s="33"/>
      <c r="QE73" s="33"/>
      <c r="QF73" s="33"/>
      <c r="QG73" s="137"/>
      <c r="QH73" s="33"/>
      <c r="QI73" s="33"/>
      <c r="QJ73" s="33"/>
      <c r="QK73" s="33"/>
      <c r="QL73" s="33"/>
      <c r="QM73" s="74"/>
      <c r="QN73" s="64"/>
      <c r="QO73" s="64"/>
      <c r="QP73" s="64"/>
      <c r="QQ73" s="64"/>
      <c r="QR73" s="33"/>
      <c r="QS73" s="137"/>
      <c r="QT73" s="33"/>
      <c r="QU73" s="3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90"/>
    </row>
    <row r="74" spans="1:486" ht="20.100000000000001" customHeight="1" x14ac:dyDescent="0.3">
      <c r="A74" s="100" t="s">
        <v>21</v>
      </c>
      <c r="B74" s="63"/>
      <c r="C74" s="203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90"/>
    </row>
    <row r="75" spans="1:486" ht="20.100000000000001" customHeight="1" x14ac:dyDescent="0.25">
      <c r="A75" s="100" t="s">
        <v>20</v>
      </c>
      <c r="B75" s="63"/>
      <c r="C75" s="201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90"/>
    </row>
    <row r="76" spans="1:486" ht="20.100000000000001" customHeight="1" x14ac:dyDescent="0.3">
      <c r="A76" s="100" t="s">
        <v>21</v>
      </c>
      <c r="B76" s="63"/>
      <c r="C76" s="203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90"/>
    </row>
    <row r="77" spans="1:486" ht="20.100000000000001" customHeight="1" x14ac:dyDescent="0.25">
      <c r="A77" s="100" t="s">
        <v>20</v>
      </c>
      <c r="B77" s="63"/>
      <c r="C77" s="201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90"/>
    </row>
    <row r="78" spans="1:486" ht="20.100000000000001" customHeight="1" x14ac:dyDescent="0.25">
      <c r="A78" s="100" t="s">
        <v>21</v>
      </c>
      <c r="B78" s="63"/>
      <c r="C78" s="202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90"/>
    </row>
    <row r="79" spans="1:486" ht="20.100000000000001" customHeight="1" x14ac:dyDescent="0.25">
      <c r="A79" s="100" t="s">
        <v>20</v>
      </c>
      <c r="B79" s="63"/>
      <c r="C79" s="201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90"/>
    </row>
    <row r="80" spans="1:486" ht="20.100000000000001" customHeight="1" x14ac:dyDescent="0.3">
      <c r="A80" s="100" t="s">
        <v>21</v>
      </c>
      <c r="B80" s="63"/>
      <c r="C80" s="203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90"/>
    </row>
    <row r="81" spans="1:486" ht="20.100000000000001" customHeight="1" x14ac:dyDescent="0.25">
      <c r="A81" s="100" t="s">
        <v>20</v>
      </c>
      <c r="B81" s="63"/>
      <c r="C81" s="201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90"/>
    </row>
    <row r="82" spans="1:486" ht="20.100000000000001" customHeight="1" x14ac:dyDescent="0.3">
      <c r="A82" s="100" t="s">
        <v>21</v>
      </c>
      <c r="B82" s="63"/>
      <c r="C82" s="203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90"/>
    </row>
    <row r="83" spans="1:486" ht="20.100000000000001" customHeight="1" x14ac:dyDescent="0.25">
      <c r="A83" s="100" t="s">
        <v>20</v>
      </c>
      <c r="B83" s="63"/>
      <c r="C83" s="201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90"/>
    </row>
    <row r="84" spans="1:486" ht="20.100000000000001" customHeight="1" x14ac:dyDescent="0.25">
      <c r="A84" s="100" t="s">
        <v>21</v>
      </c>
      <c r="B84" s="63"/>
      <c r="C84" s="202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90"/>
    </row>
    <row r="85" spans="1:486" ht="20.100000000000001" customHeight="1" x14ac:dyDescent="0.25">
      <c r="A85" s="100" t="s">
        <v>20</v>
      </c>
      <c r="B85" s="63"/>
      <c r="C85" s="201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90"/>
    </row>
    <row r="86" spans="1:486" ht="20.100000000000001" customHeight="1" x14ac:dyDescent="0.3">
      <c r="A86" s="100" t="s">
        <v>21</v>
      </c>
      <c r="B86" s="63"/>
      <c r="C86" s="203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90"/>
    </row>
    <row r="87" spans="1:486" ht="20.100000000000001" customHeight="1" x14ac:dyDescent="0.25">
      <c r="A87" s="100" t="s">
        <v>20</v>
      </c>
      <c r="B87" s="63"/>
      <c r="C87" s="201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90"/>
    </row>
    <row r="88" spans="1:486" ht="20.100000000000001" customHeight="1" x14ac:dyDescent="0.25">
      <c r="A88" s="100" t="s">
        <v>21</v>
      </c>
      <c r="B88" s="63"/>
      <c r="C88" s="202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90"/>
    </row>
    <row r="89" spans="1:486" ht="20.100000000000001" customHeight="1" x14ac:dyDescent="0.25">
      <c r="A89" s="100" t="s">
        <v>20</v>
      </c>
      <c r="B89" s="63"/>
      <c r="C89" s="201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90"/>
    </row>
    <row r="90" spans="1:486" ht="20.100000000000001" customHeight="1" x14ac:dyDescent="0.3">
      <c r="A90" s="100" t="s">
        <v>21</v>
      </c>
      <c r="B90" s="63"/>
      <c r="C90" s="203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90"/>
    </row>
    <row r="91" spans="1:486" ht="20.100000000000001" customHeight="1" x14ac:dyDescent="0.25">
      <c r="A91" s="100" t="s">
        <v>20</v>
      </c>
      <c r="B91" s="63"/>
      <c r="C91" s="201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90"/>
    </row>
    <row r="92" spans="1:486" ht="20.100000000000001" customHeight="1" x14ac:dyDescent="0.3">
      <c r="A92" s="100" t="s">
        <v>21</v>
      </c>
      <c r="B92" s="63"/>
      <c r="C92" s="203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90"/>
    </row>
    <row r="93" spans="1:486" ht="20.100000000000001" customHeight="1" x14ac:dyDescent="0.25">
      <c r="A93" s="100" t="s">
        <v>20</v>
      </c>
      <c r="B93" s="63"/>
      <c r="C93" s="201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90"/>
    </row>
    <row r="94" spans="1:486" ht="20.100000000000001" customHeight="1" x14ac:dyDescent="0.25">
      <c r="A94" s="100" t="s">
        <v>21</v>
      </c>
      <c r="B94" s="63"/>
      <c r="C94" s="202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90"/>
    </row>
    <row r="95" spans="1:486" ht="20.100000000000001" customHeight="1" x14ac:dyDescent="0.25">
      <c r="B95" s="96"/>
      <c r="C95" s="216" t="s">
        <v>9</v>
      </c>
      <c r="D95" s="217"/>
      <c r="E95" s="117">
        <f>SUM(E15,E17,E19,E21,E23,E25,E27,E29,E31,E33,E35,E37,E39,E41,E43,E45,E47,E49,E51,E53,E55,E57,E59,E61,E63,E65,E67,E69,E71,E73,E75,E77,E79,E81,E83,E85,E87,E89,E91,E93)</f>
        <v>252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90"/>
    </row>
    <row r="96" spans="1:486" ht="20.100000000000001" customHeight="1" thickBot="1" x14ac:dyDescent="0.3">
      <c r="B96" s="96"/>
      <c r="C96" s="218"/>
      <c r="D96" s="219"/>
      <c r="E96" s="123" t="str">
        <f xml:space="preserve"> setValueToTime(E95)</f>
        <v>21h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90"/>
    </row>
    <row r="97" spans="2:486" ht="20.100000000000001" customHeight="1" x14ac:dyDescent="0.25">
      <c r="B97" s="96"/>
      <c r="C97" s="220" t="s">
        <v>10</v>
      </c>
      <c r="D97" s="221"/>
      <c r="E97" s="118">
        <f>SUM(E16,E18,E20,E22,E24,E26,E28,E30,E32,E34,E36,E38,E40,E42,E44,E46,E48,E50,E52,E54,E56,E58,E60,E62,E64,E66,E68,E70,E72,E74,E76,E78,E80,E82,E84,E86,E88,E90,E92,E94)</f>
        <v>261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24"/>
    </row>
    <row r="98" spans="2:486" ht="20.100000000000001" customHeight="1" thickBot="1" x14ac:dyDescent="0.3">
      <c r="B98" s="96"/>
      <c r="C98" s="222"/>
      <c r="D98" s="223"/>
      <c r="E98" s="122" t="str">
        <f xml:space="preserve"> setValueToTime(E97)</f>
        <v>21h45min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90"/>
    </row>
    <row r="99" spans="2:4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91"/>
    </row>
  </sheetData>
  <sheetProtection insertRows="0" insertHyperlinks="0" selectLockedCells="1"/>
  <mergeCells count="154"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F13:BM13"/>
    <mergeCell ref="J14:M14"/>
    <mergeCell ref="P14:S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BN13:DU13"/>
    <mergeCell ref="DH14:DK14"/>
    <mergeCell ref="DN14:DQ14"/>
    <mergeCell ref="DV10:GC10"/>
    <mergeCell ref="DV11:GC11"/>
    <mergeCell ref="DV12:GC12"/>
    <mergeCell ref="DV13:GC13"/>
    <mergeCell ref="DZ14:EC14"/>
    <mergeCell ref="ID14:IG14"/>
    <mergeCell ref="C95:D96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EL14:EO14"/>
    <mergeCell ref="EX14:FA14"/>
    <mergeCell ref="FJ14:FM14"/>
    <mergeCell ref="FV14:FY14"/>
    <mergeCell ref="EF14:EI14"/>
    <mergeCell ref="ER14:EU14"/>
    <mergeCell ref="FD14:FG14"/>
    <mergeCell ref="V14:Y14"/>
    <mergeCell ref="AB14:AE14"/>
    <mergeCell ref="AH14:AK14"/>
    <mergeCell ref="FP14:FS14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55:C56"/>
    <mergeCell ref="C57:C58"/>
    <mergeCell ref="C59:C60"/>
    <mergeCell ref="C61:C62"/>
    <mergeCell ref="C83:C84"/>
    <mergeCell ref="C81:C82"/>
    <mergeCell ref="G9:U9"/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47</xdr:col>
                <xdr:colOff>57150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G97"/>
  <sheetViews>
    <sheetView showGridLines="0" tabSelected="1" zoomScaleNormal="100" zoomScaleSheetLayoutView="98" workbookViewId="0">
      <pane ySplit="1" topLeftCell="A2" activePane="bottomLeft" state="frozen"/>
      <selection activeCell="BC13" sqref="BC13"/>
      <selection pane="bottomLeft" activeCell="E6" sqref="E6:F6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28.4257812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12</v>
      </c>
      <c r="B2" s="163">
        <v>8</v>
      </c>
      <c r="C2" s="163"/>
      <c r="D2" s="82" t="s">
        <v>15</v>
      </c>
      <c r="E2" s="94">
        <v>44719</v>
      </c>
      <c r="F2" s="126"/>
      <c r="G2" s="46"/>
    </row>
    <row r="3" spans="1:7" s="47" customFormat="1" ht="30" customHeight="1" thickBot="1" x14ac:dyDescent="0.3">
      <c r="A3" s="80" t="s">
        <v>5</v>
      </c>
      <c r="B3" s="150" t="s">
        <v>42</v>
      </c>
      <c r="C3" s="151"/>
      <c r="D3" s="80" t="s">
        <v>13</v>
      </c>
      <c r="E3" s="238" t="s">
        <v>14</v>
      </c>
      <c r="F3" s="239"/>
      <c r="G3" s="46"/>
    </row>
    <row r="4" spans="1:7" s="52" customFormat="1" ht="27" x14ac:dyDescent="0.3">
      <c r="A4" s="48" t="s">
        <v>50</v>
      </c>
      <c r="B4" s="49">
        <v>36</v>
      </c>
      <c r="C4" s="152" t="str">
        <f xml:space="preserve"> IF(B4="","",setValueToTime(B4))</f>
        <v>3h</v>
      </c>
      <c r="D4" s="166" t="s">
        <v>85</v>
      </c>
      <c r="E4" s="240"/>
      <c r="F4" s="241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232"/>
      <c r="F5" s="233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32"/>
      <c r="F6" s="233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32"/>
      <c r="F7" s="233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32"/>
      <c r="F8" s="233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32"/>
      <c r="F9" s="233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32"/>
      <c r="F10" s="233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34"/>
      <c r="F11" s="235"/>
      <c r="G11" s="51"/>
    </row>
    <row r="12" spans="1:7" s="52" customFormat="1" ht="15" thickBot="1" x14ac:dyDescent="0.35">
      <c r="A12" s="111" t="s">
        <v>29</v>
      </c>
      <c r="B12" s="84">
        <f>SUM(B4:B11)</f>
        <v>36</v>
      </c>
      <c r="C12" s="111" t="str">
        <f xml:space="preserve"> setValueToTime(B12)</f>
        <v>3h</v>
      </c>
      <c r="D12" s="120"/>
      <c r="E12" s="236"/>
      <c r="F12" s="237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12</v>
      </c>
      <c r="B14" s="163">
        <v>7</v>
      </c>
      <c r="C14" s="163"/>
      <c r="D14" s="82" t="s">
        <v>15</v>
      </c>
      <c r="E14" s="94">
        <v>44715</v>
      </c>
      <c r="F14" s="126"/>
      <c r="G14" s="46"/>
    </row>
    <row r="15" spans="1:7" s="47" customFormat="1" ht="30" customHeight="1" thickBot="1" x14ac:dyDescent="0.3">
      <c r="A15" s="80" t="s">
        <v>5</v>
      </c>
      <c r="B15" s="150" t="s">
        <v>42</v>
      </c>
      <c r="C15" s="151"/>
      <c r="D15" s="80" t="s">
        <v>13</v>
      </c>
      <c r="E15" s="238" t="s">
        <v>14</v>
      </c>
      <c r="F15" s="239"/>
      <c r="G15" s="46"/>
    </row>
    <row r="16" spans="1:7" s="52" customFormat="1" ht="27" x14ac:dyDescent="0.3">
      <c r="A16" s="48" t="s">
        <v>48</v>
      </c>
      <c r="B16" s="49">
        <v>36</v>
      </c>
      <c r="C16" s="152" t="str">
        <f xml:space="preserve"> IF(B16="","",setValueToTime(B16))</f>
        <v>3h</v>
      </c>
      <c r="D16" s="166" t="s">
        <v>60</v>
      </c>
      <c r="E16" s="240"/>
      <c r="F16" s="241"/>
      <c r="G16" s="51"/>
    </row>
    <row r="17" spans="1:7" s="52" customFormat="1" x14ac:dyDescent="0.3">
      <c r="A17" s="53"/>
      <c r="B17" s="54"/>
      <c r="C17" s="153" t="str">
        <f t="shared" ref="C17:C23" si="1" xml:space="preserve"> IF(B17="","",setValueToTime(B17))</f>
        <v/>
      </c>
      <c r="D17" s="55"/>
      <c r="E17" s="232"/>
      <c r="F17" s="233"/>
      <c r="G17" s="51"/>
    </row>
    <row r="18" spans="1:7" s="52" customFormat="1" x14ac:dyDescent="0.3">
      <c r="A18" s="53"/>
      <c r="B18" s="54"/>
      <c r="C18" s="153" t="str">
        <f t="shared" si="1"/>
        <v/>
      </c>
      <c r="D18" s="55"/>
      <c r="E18" s="232"/>
      <c r="F18" s="233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32"/>
      <c r="F19" s="233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32"/>
      <c r="F20" s="233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32"/>
      <c r="F21" s="233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32"/>
      <c r="F22" s="233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34"/>
      <c r="F23" s="235"/>
      <c r="G23" s="51"/>
    </row>
    <row r="24" spans="1:7" s="52" customFormat="1" ht="15" thickBot="1" x14ac:dyDescent="0.35">
      <c r="A24" s="111" t="s">
        <v>29</v>
      </c>
      <c r="B24" s="84">
        <f>SUM(B16:B23)</f>
        <v>36</v>
      </c>
      <c r="C24" s="111" t="str">
        <f xml:space="preserve"> setValueToTime(B24)</f>
        <v>3h</v>
      </c>
      <c r="D24" s="120"/>
      <c r="E24" s="236"/>
      <c r="F24" s="237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12</v>
      </c>
      <c r="B26" s="163">
        <v>6</v>
      </c>
      <c r="C26" s="163"/>
      <c r="D26" s="82" t="s">
        <v>15</v>
      </c>
      <c r="E26" s="94">
        <v>44715</v>
      </c>
      <c r="F26" s="126"/>
      <c r="G26" s="46"/>
    </row>
    <row r="27" spans="1:7" s="47" customFormat="1" ht="30" customHeight="1" thickBot="1" x14ac:dyDescent="0.3">
      <c r="A27" s="80" t="s">
        <v>5</v>
      </c>
      <c r="B27" s="150" t="s">
        <v>42</v>
      </c>
      <c r="C27" s="151"/>
      <c r="D27" s="80" t="s">
        <v>13</v>
      </c>
      <c r="E27" s="238" t="s">
        <v>14</v>
      </c>
      <c r="F27" s="239"/>
      <c r="G27" s="46"/>
    </row>
    <row r="28" spans="1:7" s="52" customFormat="1" x14ac:dyDescent="0.3">
      <c r="A28" s="48" t="s">
        <v>47</v>
      </c>
      <c r="B28" s="49">
        <v>36</v>
      </c>
      <c r="C28" s="152" t="str">
        <f xml:space="preserve"> IF(B28="","",setValueToTime(B28))</f>
        <v>3h</v>
      </c>
      <c r="D28" s="166" t="s">
        <v>59</v>
      </c>
      <c r="E28" s="240"/>
      <c r="F28" s="241"/>
      <c r="G28" s="51"/>
    </row>
    <row r="29" spans="1:7" s="52" customFormat="1" x14ac:dyDescent="0.3">
      <c r="A29" s="53"/>
      <c r="B29" s="54"/>
      <c r="C29" s="153" t="str">
        <f t="shared" ref="C29:C35" si="2" xml:space="preserve"> IF(B29="","",setValueToTime(B29))</f>
        <v/>
      </c>
      <c r="D29" s="55"/>
      <c r="E29" s="232"/>
      <c r="F29" s="233"/>
      <c r="G29" s="51"/>
    </row>
    <row r="30" spans="1:7" s="52" customFormat="1" x14ac:dyDescent="0.3">
      <c r="A30" s="53"/>
      <c r="B30" s="54"/>
      <c r="C30" s="153" t="str">
        <f t="shared" si="2"/>
        <v/>
      </c>
      <c r="D30" s="55"/>
      <c r="E30" s="232"/>
      <c r="F30" s="233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32"/>
      <c r="F31" s="233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32"/>
      <c r="F32" s="233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32"/>
      <c r="F33" s="233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32"/>
      <c r="F34" s="233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34"/>
      <c r="F35" s="235"/>
      <c r="G35" s="51"/>
    </row>
    <row r="36" spans="1:7" s="52" customFormat="1" ht="15" thickBot="1" x14ac:dyDescent="0.35">
      <c r="A36" s="111" t="s">
        <v>29</v>
      </c>
      <c r="B36" s="84">
        <f>SUM(B28:B35)</f>
        <v>36</v>
      </c>
      <c r="C36" s="111" t="str">
        <f xml:space="preserve"> setValueToTime(B36)</f>
        <v>3h</v>
      </c>
      <c r="D36" s="120"/>
      <c r="E36" s="236"/>
      <c r="F36" s="237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12</v>
      </c>
      <c r="B38" s="163">
        <v>5</v>
      </c>
      <c r="C38" s="163"/>
      <c r="D38" s="82" t="s">
        <v>15</v>
      </c>
      <c r="E38" s="94">
        <v>44713</v>
      </c>
      <c r="F38" s="126"/>
      <c r="G38" s="46"/>
    </row>
    <row r="39" spans="1:7" s="47" customFormat="1" ht="30" customHeight="1" thickBot="1" x14ac:dyDescent="0.3">
      <c r="A39" s="80" t="s">
        <v>5</v>
      </c>
      <c r="B39" s="150" t="s">
        <v>42</v>
      </c>
      <c r="C39" s="151"/>
      <c r="D39" s="80" t="s">
        <v>13</v>
      </c>
      <c r="E39" s="238" t="s">
        <v>14</v>
      </c>
      <c r="F39" s="239"/>
      <c r="G39" s="46"/>
    </row>
    <row r="40" spans="1:7" s="52" customFormat="1" x14ac:dyDescent="0.3">
      <c r="A40" s="48" t="s">
        <v>33</v>
      </c>
      <c r="B40" s="49">
        <v>36</v>
      </c>
      <c r="C40" s="152" t="str">
        <f xml:space="preserve"> IF(B40="","",setValueToTime(B40))</f>
        <v>3h</v>
      </c>
      <c r="D40" s="166" t="s">
        <v>58</v>
      </c>
      <c r="E40" s="240"/>
      <c r="F40" s="241"/>
      <c r="G40" s="51"/>
    </row>
    <row r="41" spans="1:7" s="52" customFormat="1" x14ac:dyDescent="0.3">
      <c r="A41" s="53"/>
      <c r="B41" s="54"/>
      <c r="C41" s="153" t="str">
        <f t="shared" ref="C41:C47" si="3" xml:space="preserve"> IF(B41="","",setValueToTime(B41))</f>
        <v/>
      </c>
      <c r="D41" s="55"/>
      <c r="E41" s="232"/>
      <c r="F41" s="233"/>
      <c r="G41" s="51"/>
    </row>
    <row r="42" spans="1:7" s="52" customFormat="1" x14ac:dyDescent="0.3">
      <c r="A42" s="53"/>
      <c r="B42" s="54"/>
      <c r="C42" s="153" t="str">
        <f t="shared" si="3"/>
        <v/>
      </c>
      <c r="D42" s="55"/>
      <c r="E42" s="232"/>
      <c r="F42" s="233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32"/>
      <c r="F43" s="233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32"/>
      <c r="F44" s="233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32"/>
      <c r="F45" s="233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32"/>
      <c r="F46" s="233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34"/>
      <c r="F47" s="235"/>
      <c r="G47" s="51"/>
    </row>
    <row r="48" spans="1:7" s="52" customFormat="1" ht="15" thickBot="1" x14ac:dyDescent="0.35">
      <c r="A48" s="111" t="s">
        <v>29</v>
      </c>
      <c r="B48" s="84">
        <f>SUM(B40:B47)</f>
        <v>36</v>
      </c>
      <c r="C48" s="111" t="str">
        <f xml:space="preserve"> setValueToTime(B48)</f>
        <v>3h</v>
      </c>
      <c r="D48" s="120"/>
      <c r="E48" s="236"/>
      <c r="F48" s="237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12</v>
      </c>
      <c r="B50" s="163">
        <v>4</v>
      </c>
      <c r="C50" s="163"/>
      <c r="D50" s="82" t="s">
        <v>15</v>
      </c>
      <c r="E50" s="94">
        <v>44713</v>
      </c>
      <c r="F50" s="126"/>
      <c r="G50" s="46"/>
    </row>
    <row r="51" spans="1:7" s="47" customFormat="1" ht="30" customHeight="1" thickBot="1" x14ac:dyDescent="0.3">
      <c r="A51" s="80" t="s">
        <v>5</v>
      </c>
      <c r="B51" s="150" t="s">
        <v>42</v>
      </c>
      <c r="C51" s="151"/>
      <c r="D51" s="80" t="s">
        <v>13</v>
      </c>
      <c r="E51" s="238" t="s">
        <v>14</v>
      </c>
      <c r="F51" s="239"/>
      <c r="G51" s="46"/>
    </row>
    <row r="52" spans="1:7" s="52" customFormat="1" x14ac:dyDescent="0.3">
      <c r="A52" s="48" t="s">
        <v>46</v>
      </c>
      <c r="B52" s="49">
        <v>12</v>
      </c>
      <c r="C52" s="152" t="str">
        <f xml:space="preserve"> IF(B52="","",setValueToTime(B52))</f>
        <v>1h</v>
      </c>
      <c r="D52" s="166" t="s">
        <v>56</v>
      </c>
      <c r="E52" s="240"/>
      <c r="F52" s="241"/>
      <c r="G52" s="51"/>
    </row>
    <row r="53" spans="1:7" s="52" customFormat="1" x14ac:dyDescent="0.3">
      <c r="A53" s="53" t="s">
        <v>33</v>
      </c>
      <c r="B53" s="54">
        <v>33</v>
      </c>
      <c r="C53" s="153" t="str">
        <f t="shared" ref="C53:C59" si="4" xml:space="preserve"> IF(B53="","",setValueToTime(B53))</f>
        <v>2h45min</v>
      </c>
      <c r="D53" s="167" t="s">
        <v>57</v>
      </c>
      <c r="E53" s="232"/>
      <c r="F53" s="233"/>
      <c r="G53" s="51"/>
    </row>
    <row r="54" spans="1:7" s="52" customFormat="1" x14ac:dyDescent="0.3">
      <c r="A54" s="53"/>
      <c r="B54" s="54"/>
      <c r="C54" s="153" t="str">
        <f t="shared" si="4"/>
        <v/>
      </c>
      <c r="D54" s="55"/>
      <c r="E54" s="232"/>
      <c r="F54" s="233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32"/>
      <c r="F55" s="233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32"/>
      <c r="F56" s="233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32"/>
      <c r="F57" s="233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32"/>
      <c r="F58" s="233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34"/>
      <c r="F59" s="235"/>
      <c r="G59" s="51"/>
    </row>
    <row r="60" spans="1:7" s="52" customFormat="1" ht="15" thickBot="1" x14ac:dyDescent="0.35">
      <c r="A60" s="111" t="s">
        <v>29</v>
      </c>
      <c r="B60" s="84">
        <f>SUM(B52:B59)</f>
        <v>45</v>
      </c>
      <c r="C60" s="111" t="str">
        <f xml:space="preserve"> setValueToTime(B60)</f>
        <v>3h45min</v>
      </c>
      <c r="D60" s="120"/>
      <c r="E60" s="236"/>
      <c r="F60" s="237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12</v>
      </c>
      <c r="B62" s="163">
        <v>3</v>
      </c>
      <c r="C62" s="163"/>
      <c r="D62" s="82" t="s">
        <v>15</v>
      </c>
      <c r="E62" s="94">
        <v>44712</v>
      </c>
      <c r="F62" s="126"/>
      <c r="G62" s="46"/>
    </row>
    <row r="63" spans="1:7" s="47" customFormat="1" ht="30" customHeight="1" thickBot="1" x14ac:dyDescent="0.3">
      <c r="A63" s="80" t="s">
        <v>5</v>
      </c>
      <c r="B63" s="150" t="s">
        <v>42</v>
      </c>
      <c r="C63" s="151"/>
      <c r="D63" s="80" t="s">
        <v>13</v>
      </c>
      <c r="E63" s="238" t="s">
        <v>14</v>
      </c>
      <c r="F63" s="239"/>
      <c r="G63" s="46"/>
    </row>
    <row r="64" spans="1:7" s="52" customFormat="1" x14ac:dyDescent="0.3">
      <c r="A64" s="48" t="s">
        <v>33</v>
      </c>
      <c r="B64" s="49">
        <v>12</v>
      </c>
      <c r="C64" s="152" t="str">
        <f xml:space="preserve"> IF(B64="","",setValueToTime(B64))</f>
        <v>1h</v>
      </c>
      <c r="D64" s="166" t="s">
        <v>53</v>
      </c>
      <c r="E64" s="240"/>
      <c r="F64" s="241"/>
      <c r="G64" s="51"/>
    </row>
    <row r="65" spans="1:7" s="52" customFormat="1" ht="27" x14ac:dyDescent="0.3">
      <c r="A65" s="53" t="s">
        <v>54</v>
      </c>
      <c r="B65" s="54">
        <v>24</v>
      </c>
      <c r="C65" s="153" t="str">
        <f t="shared" ref="C65:C71" si="5" xml:space="preserve"> IF(B65="","",setValueToTime(B65))</f>
        <v>2h</v>
      </c>
      <c r="D65" s="167" t="s">
        <v>55</v>
      </c>
      <c r="E65" s="232"/>
      <c r="F65" s="233"/>
      <c r="G65" s="51"/>
    </row>
    <row r="66" spans="1:7" s="52" customFormat="1" x14ac:dyDescent="0.3">
      <c r="A66" s="53"/>
      <c r="B66" s="54"/>
      <c r="C66" s="153" t="str">
        <f t="shared" si="5"/>
        <v/>
      </c>
      <c r="D66" s="55"/>
      <c r="E66" s="232"/>
      <c r="F66" s="233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32"/>
      <c r="F67" s="233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32"/>
      <c r="F68" s="233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32"/>
      <c r="F69" s="233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32"/>
      <c r="F70" s="233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34"/>
      <c r="F71" s="235"/>
      <c r="G71" s="51"/>
    </row>
    <row r="72" spans="1:7" s="52" customFormat="1" ht="15" thickBot="1" x14ac:dyDescent="0.35">
      <c r="A72" s="111" t="s">
        <v>29</v>
      </c>
      <c r="B72" s="84">
        <f>SUM(B64:B71)</f>
        <v>36</v>
      </c>
      <c r="C72" s="111" t="str">
        <f xml:space="preserve"> setValueToTime(B72)</f>
        <v>3h</v>
      </c>
      <c r="D72" s="120"/>
      <c r="E72" s="236"/>
      <c r="F72" s="237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12</v>
      </c>
      <c r="B74" s="163">
        <v>2</v>
      </c>
      <c r="C74" s="163"/>
      <c r="D74" s="82" t="s">
        <v>15</v>
      </c>
      <c r="E74" s="94">
        <v>44711</v>
      </c>
      <c r="F74" s="126"/>
      <c r="G74" s="46"/>
    </row>
    <row r="75" spans="1:7" s="47" customFormat="1" ht="30" customHeight="1" thickBot="1" x14ac:dyDescent="0.3">
      <c r="A75" s="80" t="s">
        <v>5</v>
      </c>
      <c r="B75" s="150" t="s">
        <v>42</v>
      </c>
      <c r="C75" s="151"/>
      <c r="D75" s="80" t="s">
        <v>13</v>
      </c>
      <c r="E75" s="238" t="s">
        <v>14</v>
      </c>
      <c r="F75" s="239"/>
      <c r="G75" s="46"/>
    </row>
    <row r="76" spans="1:7" s="52" customFormat="1" x14ac:dyDescent="0.3">
      <c r="A76" s="48" t="s">
        <v>46</v>
      </c>
      <c r="B76" s="49">
        <v>27</v>
      </c>
      <c r="C76" s="152" t="str">
        <f xml:space="preserve"> IF(B76="","",setValueToTime(B76))</f>
        <v>2h15min</v>
      </c>
      <c r="D76" s="166" t="s">
        <v>52</v>
      </c>
      <c r="E76" s="240"/>
      <c r="F76" s="241"/>
      <c r="G76" s="51"/>
    </row>
    <row r="77" spans="1:7" s="52" customFormat="1" x14ac:dyDescent="0.3">
      <c r="A77" s="53"/>
      <c r="B77" s="54"/>
      <c r="C77" s="153" t="str">
        <f t="shared" ref="C77:C83" si="6" xml:space="preserve"> IF(B77="","",setValueToTime(B77))</f>
        <v/>
      </c>
      <c r="D77" s="55"/>
      <c r="E77" s="232"/>
      <c r="F77" s="233"/>
      <c r="G77" s="51"/>
    </row>
    <row r="78" spans="1:7" s="52" customFormat="1" x14ac:dyDescent="0.3">
      <c r="A78" s="53"/>
      <c r="B78" s="54"/>
      <c r="C78" s="153" t="str">
        <f t="shared" si="6"/>
        <v/>
      </c>
      <c r="D78" s="55"/>
      <c r="E78" s="232"/>
      <c r="F78" s="233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32"/>
      <c r="F79" s="233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32"/>
      <c r="F80" s="233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32"/>
      <c r="F81" s="233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32"/>
      <c r="F82" s="233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34"/>
      <c r="F83" s="235"/>
      <c r="G83" s="51"/>
    </row>
    <row r="84" spans="1:7" s="52" customFormat="1" ht="15" thickBot="1" x14ac:dyDescent="0.35">
      <c r="A84" s="111" t="s">
        <v>29</v>
      </c>
      <c r="B84" s="84">
        <f>SUM(B76:B83)</f>
        <v>27</v>
      </c>
      <c r="C84" s="111" t="str">
        <f xml:space="preserve"> setValueToTime(B84)</f>
        <v>2h15min</v>
      </c>
      <c r="D84" s="120"/>
      <c r="E84" s="236"/>
      <c r="F84" s="237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12</v>
      </c>
      <c r="B86" s="163">
        <v>1</v>
      </c>
      <c r="C86" s="163"/>
      <c r="D86" s="82" t="s">
        <v>15</v>
      </c>
      <c r="E86" s="94">
        <v>44711</v>
      </c>
      <c r="F86" s="126"/>
      <c r="G86" s="46"/>
    </row>
    <row r="87" spans="1:7" s="47" customFormat="1" ht="30" customHeight="1" thickBot="1" x14ac:dyDescent="0.3">
      <c r="A87" s="80" t="s">
        <v>5</v>
      </c>
      <c r="B87" s="150" t="s">
        <v>42</v>
      </c>
      <c r="C87" s="151"/>
      <c r="D87" s="80" t="s">
        <v>13</v>
      </c>
      <c r="E87" s="238" t="s">
        <v>14</v>
      </c>
      <c r="F87" s="239"/>
      <c r="G87" s="46"/>
    </row>
    <row r="88" spans="1:7" s="52" customFormat="1" x14ac:dyDescent="0.3">
      <c r="A88" s="48" t="s">
        <v>4</v>
      </c>
      <c r="B88" s="49">
        <v>18</v>
      </c>
      <c r="C88" s="152" t="str">
        <f xml:space="preserve"> IF(B88="","",setValueToTime(B88))</f>
        <v>1h30min</v>
      </c>
      <c r="D88" s="166" t="s">
        <v>65</v>
      </c>
      <c r="E88" s="240"/>
      <c r="F88" s="241"/>
      <c r="G88" s="51"/>
    </row>
    <row r="89" spans="1:7" s="52" customFormat="1" x14ac:dyDescent="0.3">
      <c r="A89" s="53" t="s">
        <v>33</v>
      </c>
      <c r="B89" s="54">
        <v>18</v>
      </c>
      <c r="C89" s="153" t="str">
        <f t="shared" ref="C89:C95" si="7" xml:space="preserve"> IF(B89="","",setValueToTime(B89))</f>
        <v>1h30min</v>
      </c>
      <c r="D89" s="167" t="s">
        <v>51</v>
      </c>
      <c r="E89" s="232"/>
      <c r="F89" s="233"/>
      <c r="G89" s="51"/>
    </row>
    <row r="90" spans="1:7" s="52" customFormat="1" x14ac:dyDescent="0.3">
      <c r="A90" s="53"/>
      <c r="B90" s="54"/>
      <c r="C90" s="153" t="str">
        <f t="shared" si="7"/>
        <v/>
      </c>
      <c r="D90" s="55"/>
      <c r="E90" s="232"/>
      <c r="F90" s="233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32"/>
      <c r="F91" s="233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32"/>
      <c r="F92" s="233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32"/>
      <c r="F93" s="233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32"/>
      <c r="F94" s="233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34"/>
      <c r="F95" s="235"/>
      <c r="G95" s="51"/>
    </row>
    <row r="96" spans="1:7" s="52" customFormat="1" ht="15" thickBot="1" x14ac:dyDescent="0.35">
      <c r="A96" s="111" t="s">
        <v>29</v>
      </c>
      <c r="B96" s="84">
        <f>SUM(B88:B95)</f>
        <v>36</v>
      </c>
      <c r="C96" s="111" t="str">
        <f xml:space="preserve"> setValueToTime(B96)</f>
        <v>3h</v>
      </c>
      <c r="D96" s="120"/>
      <c r="E96" s="236"/>
      <c r="F96" s="237"/>
      <c r="G96" s="51"/>
    </row>
    <row r="97" spans="1:7" s="59" customFormat="1" x14ac:dyDescent="0.3">
      <c r="A97" s="79"/>
      <c r="B97" s="79"/>
      <c r="C97" s="79"/>
      <c r="D97" s="79"/>
      <c r="E97" s="79"/>
      <c r="F97" s="79"/>
      <c r="G97" s="58"/>
    </row>
  </sheetData>
  <sheetProtection formatRows="0" insertRows="0" insertHyperlinks="0" deleteRows="0" selectLockedCells="1"/>
  <mergeCells count="8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32:F32"/>
    <mergeCell ref="E34:F34"/>
    <mergeCell ref="E35:F35"/>
    <mergeCell ref="E36:F36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33:F33"/>
    <mergeCell ref="E27:F27"/>
    <mergeCell ref="E28:F28"/>
    <mergeCell ref="E29:F29"/>
    <mergeCell ref="E30:F30"/>
    <mergeCell ref="E31:F31"/>
    <mergeCell ref="E44:F44"/>
    <mergeCell ref="E45:F45"/>
    <mergeCell ref="E46:F46"/>
    <mergeCell ref="E47:F47"/>
    <mergeCell ref="E48:F48"/>
    <mergeCell ref="E39:F39"/>
    <mergeCell ref="E40:F40"/>
    <mergeCell ref="E41:F41"/>
    <mergeCell ref="E42:F42"/>
    <mergeCell ref="E43:F43"/>
    <mergeCell ref="E56:F56"/>
    <mergeCell ref="E57:F57"/>
    <mergeCell ref="E58:F58"/>
    <mergeCell ref="E59:F59"/>
    <mergeCell ref="E60:F60"/>
    <mergeCell ref="E51:F51"/>
    <mergeCell ref="E52:F52"/>
    <mergeCell ref="E53:F53"/>
    <mergeCell ref="E54:F54"/>
    <mergeCell ref="E55:F55"/>
    <mergeCell ref="E81:F81"/>
    <mergeCell ref="E82:F82"/>
    <mergeCell ref="E83:F83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93:F93"/>
    <mergeCell ref="E94:F94"/>
    <mergeCell ref="E95:F95"/>
    <mergeCell ref="E96:F96"/>
    <mergeCell ref="E75:F75"/>
    <mergeCell ref="E76:F76"/>
    <mergeCell ref="E77:F77"/>
    <mergeCell ref="E78:F78"/>
    <mergeCell ref="E79:F79"/>
    <mergeCell ref="E80:F80"/>
    <mergeCell ref="E87:F87"/>
    <mergeCell ref="E88:F88"/>
    <mergeCell ref="E89:F89"/>
    <mergeCell ref="E90:F90"/>
    <mergeCell ref="E91:F91"/>
    <mergeCell ref="E92:F92"/>
  </mergeCells>
  <phoneticPr fontId="0" type="noConversion"/>
  <conditionalFormatting sqref="B96">
    <cfRule type="cellIs" dxfId="16" priority="8" operator="greaterThan">
      <formula>60</formula>
    </cfRule>
  </conditionalFormatting>
  <conditionalFormatting sqref="B84">
    <cfRule type="cellIs" dxfId="15" priority="7" operator="greaterThan">
      <formula>60</formula>
    </cfRule>
  </conditionalFormatting>
  <conditionalFormatting sqref="B72">
    <cfRule type="cellIs" dxfId="14" priority="6" operator="greaterThan">
      <formula>60</formula>
    </cfRule>
  </conditionalFormatting>
  <conditionalFormatting sqref="B60">
    <cfRule type="cellIs" dxfId="13" priority="5" operator="greaterThan">
      <formula>60</formula>
    </cfRule>
  </conditionalFormatting>
  <conditionalFormatting sqref="B48">
    <cfRule type="cellIs" dxfId="12" priority="4" operator="greaterThan">
      <formula>60</formula>
    </cfRule>
  </conditionalFormatting>
  <conditionalFormatting sqref="B36">
    <cfRule type="cellIs" dxfId="11" priority="3" operator="greaterThan">
      <formula>60</formula>
    </cfRule>
  </conditionalFormatting>
  <conditionalFormatting sqref="B24">
    <cfRule type="cellIs" dxfId="10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96 B84 B72 B60 B48 B36 B24 B12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88:B95 B76:B83 B64:B71 B52:B59 B40:B47 B28:B35 B16:B23 B4:B11">
      <formula1>0</formula1>
    </dataValidation>
    <dataValidation type="list" allowBlank="1" showInputMessage="1" showErrorMessage="1" sqref="A88:A95 A76:A83 A64:A71 A52:A59 A40:A47 A28:A35 A16:A23 A4:A11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85"/>
  <sheetViews>
    <sheetView showGridLines="0" zoomScaleNormal="100" zoomScaleSheetLayoutView="98" workbookViewId="0">
      <pane ySplit="1" topLeftCell="A2" activePane="bottomLeft" state="frozen"/>
      <selection pane="bottomLeft" activeCell="E2" sqref="E2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12</v>
      </c>
      <c r="B2" s="164">
        <v>7</v>
      </c>
      <c r="C2" s="164"/>
      <c r="D2" s="157" t="s">
        <v>15</v>
      </c>
      <c r="E2" s="158" t="s">
        <v>64</v>
      </c>
      <c r="F2" s="159"/>
      <c r="G2" s="46"/>
    </row>
    <row r="3" spans="1:7" s="47" customFormat="1" ht="30" customHeight="1" thickBot="1" x14ac:dyDescent="0.3">
      <c r="A3" s="78" t="s">
        <v>5</v>
      </c>
      <c r="B3" s="161" t="s">
        <v>42</v>
      </c>
      <c r="C3" s="160"/>
      <c r="D3" s="78" t="s">
        <v>13</v>
      </c>
      <c r="E3" s="244" t="s">
        <v>14</v>
      </c>
      <c r="F3" s="245"/>
      <c r="G3" s="46"/>
    </row>
    <row r="4" spans="1:7" s="52" customFormat="1" ht="40.5" x14ac:dyDescent="0.3">
      <c r="A4" s="48" t="s">
        <v>49</v>
      </c>
      <c r="B4" s="49">
        <v>36</v>
      </c>
      <c r="C4" s="152" t="str">
        <f xml:space="preserve"> IF(B4="","",setValueToTime(B4))</f>
        <v>3h</v>
      </c>
      <c r="D4" s="166" t="s">
        <v>83</v>
      </c>
      <c r="E4" s="240"/>
      <c r="F4" s="241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232"/>
      <c r="F5" s="233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32"/>
      <c r="F6" s="233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32"/>
      <c r="F7" s="233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32"/>
      <c r="F8" s="233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32"/>
      <c r="F9" s="233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32"/>
      <c r="F10" s="233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34"/>
      <c r="F11" s="235"/>
      <c r="G11" s="51"/>
    </row>
    <row r="12" spans="1:7" s="52" customFormat="1" ht="15" thickBot="1" x14ac:dyDescent="0.35">
      <c r="A12" s="162" t="s">
        <v>29</v>
      </c>
      <c r="B12" s="83">
        <f>SUM(B4:B11)</f>
        <v>36</v>
      </c>
      <c r="C12" s="162" t="str">
        <f xml:space="preserve"> setValueToTime(B12)</f>
        <v>3h</v>
      </c>
      <c r="D12" s="121"/>
      <c r="E12" s="242"/>
      <c r="F12" s="243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12</v>
      </c>
      <c r="B14" s="164">
        <v>6</v>
      </c>
      <c r="C14" s="164"/>
      <c r="D14" s="157" t="s">
        <v>15</v>
      </c>
      <c r="E14" s="158" t="s">
        <v>64</v>
      </c>
      <c r="F14" s="159"/>
      <c r="G14" s="46"/>
    </row>
    <row r="15" spans="1:7" s="47" customFormat="1" ht="30" customHeight="1" thickBot="1" x14ac:dyDescent="0.3">
      <c r="A15" s="78" t="s">
        <v>5</v>
      </c>
      <c r="B15" s="161" t="s">
        <v>42</v>
      </c>
      <c r="C15" s="160"/>
      <c r="D15" s="78" t="s">
        <v>13</v>
      </c>
      <c r="E15" s="244" t="s">
        <v>14</v>
      </c>
      <c r="F15" s="245"/>
      <c r="G15" s="46"/>
    </row>
    <row r="16" spans="1:7" s="52" customFormat="1" ht="27" x14ac:dyDescent="0.3">
      <c r="A16" s="48" t="s">
        <v>47</v>
      </c>
      <c r="B16" s="49">
        <v>18</v>
      </c>
      <c r="C16" s="152" t="str">
        <f xml:space="preserve"> IF(B16="","",setValueToTime(B16))</f>
        <v>1h30min</v>
      </c>
      <c r="D16" s="166" t="s">
        <v>74</v>
      </c>
      <c r="E16" s="240"/>
      <c r="F16" s="241"/>
      <c r="G16" s="51"/>
    </row>
    <row r="17" spans="1:7" s="52" customFormat="1" ht="27" x14ac:dyDescent="0.3">
      <c r="A17" s="53" t="s">
        <v>48</v>
      </c>
      <c r="B17" s="54">
        <v>18</v>
      </c>
      <c r="C17" s="153" t="str">
        <f t="shared" ref="C17:C23" si="1" xml:space="preserve"> IF(B17="","",setValueToTime(B17))</f>
        <v>1h30min</v>
      </c>
      <c r="D17" s="167" t="s">
        <v>75</v>
      </c>
      <c r="E17" s="232"/>
      <c r="F17" s="233"/>
      <c r="G17" s="51"/>
    </row>
    <row r="18" spans="1:7" s="52" customFormat="1" x14ac:dyDescent="0.3">
      <c r="A18" s="53"/>
      <c r="B18" s="54"/>
      <c r="C18" s="153" t="str">
        <f t="shared" si="1"/>
        <v/>
      </c>
      <c r="D18" s="55"/>
      <c r="E18" s="232"/>
      <c r="F18" s="233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32"/>
      <c r="F19" s="233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32"/>
      <c r="F20" s="233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32"/>
      <c r="F21" s="233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32"/>
      <c r="F22" s="233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34"/>
      <c r="F23" s="235"/>
      <c r="G23" s="51"/>
    </row>
    <row r="24" spans="1:7" s="52" customFormat="1" ht="15" thickBot="1" x14ac:dyDescent="0.35">
      <c r="A24" s="162" t="s">
        <v>29</v>
      </c>
      <c r="B24" s="83">
        <f>SUM(B16:B23)</f>
        <v>36</v>
      </c>
      <c r="C24" s="162" t="str">
        <f xml:space="preserve"> setValueToTime(B24)</f>
        <v>3h</v>
      </c>
      <c r="D24" s="121"/>
      <c r="E24" s="242"/>
      <c r="F24" s="243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6" t="s">
        <v>12</v>
      </c>
      <c r="B26" s="164">
        <v>5</v>
      </c>
      <c r="C26" s="164"/>
      <c r="D26" s="157" t="s">
        <v>15</v>
      </c>
      <c r="E26" s="158" t="s">
        <v>63</v>
      </c>
      <c r="F26" s="159"/>
      <c r="G26" s="46"/>
    </row>
    <row r="27" spans="1:7" s="47" customFormat="1" ht="30" customHeight="1" thickBot="1" x14ac:dyDescent="0.3">
      <c r="A27" s="78" t="s">
        <v>5</v>
      </c>
      <c r="B27" s="161" t="s">
        <v>42</v>
      </c>
      <c r="C27" s="160"/>
      <c r="D27" s="78" t="s">
        <v>13</v>
      </c>
      <c r="E27" s="244" t="s">
        <v>14</v>
      </c>
      <c r="F27" s="245"/>
      <c r="G27" s="46"/>
    </row>
    <row r="28" spans="1:7" s="52" customFormat="1" ht="27" x14ac:dyDescent="0.3">
      <c r="A28" s="48" t="s">
        <v>33</v>
      </c>
      <c r="B28" s="49">
        <v>18</v>
      </c>
      <c r="C28" s="152" t="str">
        <f xml:space="preserve"> IF(B28="","",setValueToTime(B28))</f>
        <v>1h30min</v>
      </c>
      <c r="D28" s="166" t="s">
        <v>72</v>
      </c>
      <c r="E28" s="240"/>
      <c r="F28" s="241"/>
      <c r="G28" s="51"/>
    </row>
    <row r="29" spans="1:7" s="52" customFormat="1" ht="40.5" x14ac:dyDescent="0.3">
      <c r="A29" s="53" t="s">
        <v>54</v>
      </c>
      <c r="B29" s="54">
        <v>18</v>
      </c>
      <c r="C29" s="153" t="str">
        <f t="shared" ref="C29:C35" si="2" xml:space="preserve"> IF(B29="","",setValueToTime(B29))</f>
        <v>1h30min</v>
      </c>
      <c r="D29" s="167" t="s">
        <v>73</v>
      </c>
      <c r="E29" s="232"/>
      <c r="F29" s="233"/>
      <c r="G29" s="51"/>
    </row>
    <row r="30" spans="1:7" s="52" customFormat="1" x14ac:dyDescent="0.3">
      <c r="A30" s="53"/>
      <c r="B30" s="54"/>
      <c r="C30" s="153" t="str">
        <f t="shared" si="2"/>
        <v/>
      </c>
      <c r="D30" s="55"/>
      <c r="E30" s="232"/>
      <c r="F30" s="233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32"/>
      <c r="F31" s="233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32"/>
      <c r="F32" s="233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32"/>
      <c r="F33" s="233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32"/>
      <c r="F34" s="233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34"/>
      <c r="F35" s="235"/>
      <c r="G35" s="51"/>
    </row>
    <row r="36" spans="1:7" s="52" customFormat="1" ht="15" thickBot="1" x14ac:dyDescent="0.35">
      <c r="A36" s="162" t="s">
        <v>29</v>
      </c>
      <c r="B36" s="83">
        <f>SUM(B28:B35)</f>
        <v>36</v>
      </c>
      <c r="C36" s="162" t="str">
        <f xml:space="preserve"> setValueToTime(B36)</f>
        <v>3h</v>
      </c>
      <c r="D36" s="121"/>
      <c r="E36" s="242"/>
      <c r="F36" s="243"/>
      <c r="G36" s="51"/>
    </row>
    <row r="37" spans="1:7" s="59" customFormat="1" ht="15" thickBot="1" x14ac:dyDescent="0.35">
      <c r="A37" s="77"/>
      <c r="B37" s="77"/>
      <c r="C37" s="77"/>
      <c r="D37" s="77"/>
      <c r="E37" s="77"/>
      <c r="F37" s="77"/>
      <c r="G37" s="58"/>
    </row>
    <row r="38" spans="1:7" s="47" customFormat="1" ht="30" customHeight="1" thickBot="1" x14ac:dyDescent="0.3">
      <c r="A38" s="156" t="s">
        <v>12</v>
      </c>
      <c r="B38" s="164">
        <v>4</v>
      </c>
      <c r="C38" s="164"/>
      <c r="D38" s="157" t="s">
        <v>15</v>
      </c>
      <c r="E38" s="158" t="s">
        <v>63</v>
      </c>
      <c r="F38" s="159"/>
      <c r="G38" s="46"/>
    </row>
    <row r="39" spans="1:7" s="47" customFormat="1" ht="30" customHeight="1" thickBot="1" x14ac:dyDescent="0.3">
      <c r="A39" s="78" t="s">
        <v>5</v>
      </c>
      <c r="B39" s="161" t="s">
        <v>42</v>
      </c>
      <c r="C39" s="160"/>
      <c r="D39" s="78" t="s">
        <v>13</v>
      </c>
      <c r="E39" s="244" t="s">
        <v>14</v>
      </c>
      <c r="F39" s="245"/>
      <c r="G39" s="46"/>
    </row>
    <row r="40" spans="1:7" s="52" customFormat="1" ht="27" x14ac:dyDescent="0.3">
      <c r="A40" s="48" t="s">
        <v>46</v>
      </c>
      <c r="B40" s="49">
        <v>18</v>
      </c>
      <c r="C40" s="152" t="str">
        <f xml:space="preserve"> IF(B40="","",setValueToTime(B40))</f>
        <v>1h30min</v>
      </c>
      <c r="D40" s="166" t="s">
        <v>69</v>
      </c>
      <c r="E40" s="240"/>
      <c r="F40" s="241"/>
      <c r="G40" s="51"/>
    </row>
    <row r="41" spans="1:7" s="52" customFormat="1" ht="27" x14ac:dyDescent="0.3">
      <c r="A41" s="53" t="s">
        <v>33</v>
      </c>
      <c r="B41" s="54">
        <v>18</v>
      </c>
      <c r="C41" s="153" t="str">
        <f t="shared" ref="C41:C47" si="3" xml:space="preserve"> IF(B41="","",setValueToTime(B41))</f>
        <v>1h30min</v>
      </c>
      <c r="D41" s="167" t="s">
        <v>70</v>
      </c>
      <c r="E41" s="232"/>
      <c r="F41" s="233"/>
      <c r="G41" s="51"/>
    </row>
    <row r="42" spans="1:7" s="52" customFormat="1" ht="27" x14ac:dyDescent="0.3">
      <c r="A42" s="53" t="s">
        <v>33</v>
      </c>
      <c r="B42" s="54">
        <v>9</v>
      </c>
      <c r="C42" s="153" t="str">
        <f t="shared" si="3"/>
        <v>0h45min</v>
      </c>
      <c r="D42" s="167" t="s">
        <v>71</v>
      </c>
      <c r="E42" s="232"/>
      <c r="F42" s="233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32"/>
      <c r="F43" s="233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32"/>
      <c r="F44" s="233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32"/>
      <c r="F45" s="233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32"/>
      <c r="F46" s="233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34"/>
      <c r="F47" s="235"/>
      <c r="G47" s="51"/>
    </row>
    <row r="48" spans="1:7" s="52" customFormat="1" ht="15" thickBot="1" x14ac:dyDescent="0.35">
      <c r="A48" s="162" t="s">
        <v>29</v>
      </c>
      <c r="B48" s="83">
        <f>SUM(B40:B47)</f>
        <v>45</v>
      </c>
      <c r="C48" s="162" t="str">
        <f xml:space="preserve"> setValueToTime(B48)</f>
        <v>3h45min</v>
      </c>
      <c r="D48" s="121"/>
      <c r="E48" s="242"/>
      <c r="F48" s="243"/>
      <c r="G48" s="51"/>
    </row>
    <row r="49" spans="1:7" s="59" customFormat="1" ht="15" thickBot="1" x14ac:dyDescent="0.35">
      <c r="A49" s="77"/>
      <c r="B49" s="77"/>
      <c r="C49" s="77"/>
      <c r="D49" s="77"/>
      <c r="E49" s="77"/>
      <c r="F49" s="77"/>
      <c r="G49" s="58"/>
    </row>
    <row r="50" spans="1:7" s="47" customFormat="1" ht="30" customHeight="1" thickBot="1" x14ac:dyDescent="0.3">
      <c r="A50" s="156" t="s">
        <v>12</v>
      </c>
      <c r="B50" s="164">
        <v>3</v>
      </c>
      <c r="C50" s="164"/>
      <c r="D50" s="157" t="s">
        <v>15</v>
      </c>
      <c r="E50" s="158" t="s">
        <v>62</v>
      </c>
      <c r="F50" s="159"/>
      <c r="G50" s="46"/>
    </row>
    <row r="51" spans="1:7" s="47" customFormat="1" ht="30" customHeight="1" thickBot="1" x14ac:dyDescent="0.3">
      <c r="A51" s="78" t="s">
        <v>5</v>
      </c>
      <c r="B51" s="161" t="s">
        <v>42</v>
      </c>
      <c r="C51" s="160"/>
      <c r="D51" s="78" t="s">
        <v>13</v>
      </c>
      <c r="E51" s="244" t="s">
        <v>14</v>
      </c>
      <c r="F51" s="245"/>
      <c r="G51" s="46"/>
    </row>
    <row r="52" spans="1:7" s="52" customFormat="1" ht="40.5" x14ac:dyDescent="0.3">
      <c r="A52" s="48" t="s">
        <v>54</v>
      </c>
      <c r="B52" s="49">
        <v>36</v>
      </c>
      <c r="C52" s="152" t="str">
        <f xml:space="preserve"> IF(B52="","",setValueToTime(B52))</f>
        <v>3h</v>
      </c>
      <c r="D52" s="166" t="s">
        <v>68</v>
      </c>
      <c r="E52" s="240"/>
      <c r="F52" s="241"/>
      <c r="G52" s="51"/>
    </row>
    <row r="53" spans="1:7" s="52" customFormat="1" x14ac:dyDescent="0.3">
      <c r="A53" s="53"/>
      <c r="B53" s="54"/>
      <c r="C53" s="153" t="str">
        <f t="shared" ref="C53:C59" si="4" xml:space="preserve"> IF(B53="","",setValueToTime(B53))</f>
        <v/>
      </c>
      <c r="D53" s="55"/>
      <c r="E53" s="232"/>
      <c r="F53" s="233"/>
      <c r="G53" s="51"/>
    </row>
    <row r="54" spans="1:7" s="52" customFormat="1" x14ac:dyDescent="0.3">
      <c r="A54" s="53"/>
      <c r="B54" s="54"/>
      <c r="C54" s="153" t="str">
        <f t="shared" si="4"/>
        <v/>
      </c>
      <c r="D54" s="55"/>
      <c r="E54" s="232"/>
      <c r="F54" s="233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32"/>
      <c r="F55" s="233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32"/>
      <c r="F56" s="233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32"/>
      <c r="F57" s="233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32"/>
      <c r="F58" s="233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34"/>
      <c r="F59" s="235"/>
      <c r="G59" s="51"/>
    </row>
    <row r="60" spans="1:7" s="52" customFormat="1" ht="15" thickBot="1" x14ac:dyDescent="0.35">
      <c r="A60" s="162" t="s">
        <v>29</v>
      </c>
      <c r="B60" s="83">
        <f>SUM(B52:B59)</f>
        <v>36</v>
      </c>
      <c r="C60" s="162" t="str">
        <f xml:space="preserve"> setValueToTime(B60)</f>
        <v>3h</v>
      </c>
      <c r="D60" s="121"/>
      <c r="E60" s="242"/>
      <c r="F60" s="243"/>
      <c r="G60" s="51"/>
    </row>
    <row r="61" spans="1:7" s="59" customFormat="1" ht="15" thickBot="1" x14ac:dyDescent="0.35">
      <c r="A61" s="77"/>
      <c r="B61" s="77"/>
      <c r="C61" s="77"/>
      <c r="D61" s="77"/>
      <c r="E61" s="77"/>
      <c r="F61" s="77"/>
      <c r="G61" s="58"/>
    </row>
    <row r="62" spans="1:7" s="47" customFormat="1" ht="30" customHeight="1" thickBot="1" x14ac:dyDescent="0.3">
      <c r="A62" s="156" t="s">
        <v>12</v>
      </c>
      <c r="B62" s="164">
        <v>2</v>
      </c>
      <c r="C62" s="164"/>
      <c r="D62" s="157" t="s">
        <v>15</v>
      </c>
      <c r="E62" s="158" t="s">
        <v>61</v>
      </c>
      <c r="F62" s="159"/>
      <c r="G62" s="46"/>
    </row>
    <row r="63" spans="1:7" s="47" customFormat="1" ht="30" customHeight="1" thickBot="1" x14ac:dyDescent="0.3">
      <c r="A63" s="78" t="s">
        <v>5</v>
      </c>
      <c r="B63" s="161" t="s">
        <v>42</v>
      </c>
      <c r="C63" s="160"/>
      <c r="D63" s="78" t="s">
        <v>13</v>
      </c>
      <c r="E63" s="244" t="s">
        <v>14</v>
      </c>
      <c r="F63" s="245"/>
      <c r="G63" s="46"/>
    </row>
    <row r="64" spans="1:7" s="52" customFormat="1" ht="27" x14ac:dyDescent="0.3">
      <c r="A64" s="48" t="s">
        <v>33</v>
      </c>
      <c r="B64" s="49">
        <v>36</v>
      </c>
      <c r="C64" s="152" t="str">
        <f xml:space="preserve"> IF(B64="","",setValueToTime(B64))</f>
        <v>3h</v>
      </c>
      <c r="D64" s="166" t="s">
        <v>67</v>
      </c>
      <c r="E64" s="240"/>
      <c r="F64" s="241"/>
      <c r="G64" s="51"/>
    </row>
    <row r="65" spans="1:7" s="52" customFormat="1" x14ac:dyDescent="0.3">
      <c r="A65" s="53"/>
      <c r="B65" s="54"/>
      <c r="C65" s="153" t="str">
        <f t="shared" ref="C65:C71" si="5" xml:space="preserve"> IF(B65="","",setValueToTime(B65))</f>
        <v/>
      </c>
      <c r="D65" s="55"/>
      <c r="E65" s="232"/>
      <c r="F65" s="233"/>
      <c r="G65" s="51"/>
    </row>
    <row r="66" spans="1:7" s="52" customFormat="1" x14ac:dyDescent="0.3">
      <c r="A66" s="53"/>
      <c r="B66" s="54"/>
      <c r="C66" s="153" t="str">
        <f t="shared" si="5"/>
        <v/>
      </c>
      <c r="D66" s="55"/>
      <c r="E66" s="232"/>
      <c r="F66" s="233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32"/>
      <c r="F67" s="233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32"/>
      <c r="F68" s="233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32"/>
      <c r="F69" s="233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32"/>
      <c r="F70" s="233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34"/>
      <c r="F71" s="235"/>
      <c r="G71" s="51"/>
    </row>
    <row r="72" spans="1:7" s="52" customFormat="1" ht="15" thickBot="1" x14ac:dyDescent="0.35">
      <c r="A72" s="162" t="s">
        <v>29</v>
      </c>
      <c r="B72" s="83">
        <f>SUM(B64:B71)</f>
        <v>36</v>
      </c>
      <c r="C72" s="162" t="str">
        <f xml:space="preserve"> setValueToTime(B72)</f>
        <v>3h</v>
      </c>
      <c r="D72" s="121"/>
      <c r="E72" s="242"/>
      <c r="F72" s="243"/>
      <c r="G72" s="51"/>
    </row>
    <row r="73" spans="1:7" s="59" customFormat="1" ht="15" thickBot="1" x14ac:dyDescent="0.35">
      <c r="A73" s="77"/>
      <c r="B73" s="77"/>
      <c r="C73" s="77"/>
      <c r="D73" s="77"/>
      <c r="E73" s="77"/>
      <c r="F73" s="77"/>
      <c r="G73" s="58"/>
    </row>
    <row r="74" spans="1:7" s="47" customFormat="1" ht="30" customHeight="1" thickBot="1" x14ac:dyDescent="0.3">
      <c r="A74" s="156" t="s">
        <v>12</v>
      </c>
      <c r="B74" s="164">
        <v>1</v>
      </c>
      <c r="C74" s="164"/>
      <c r="D74" s="157" t="s">
        <v>15</v>
      </c>
      <c r="E74" s="158" t="s">
        <v>61</v>
      </c>
      <c r="F74" s="159"/>
      <c r="G74" s="46"/>
    </row>
    <row r="75" spans="1:7" s="47" customFormat="1" ht="30" customHeight="1" thickBot="1" x14ac:dyDescent="0.3">
      <c r="A75" s="78" t="s">
        <v>5</v>
      </c>
      <c r="B75" s="161" t="s">
        <v>42</v>
      </c>
      <c r="C75" s="160"/>
      <c r="D75" s="78" t="s">
        <v>13</v>
      </c>
      <c r="E75" s="244" t="s">
        <v>14</v>
      </c>
      <c r="F75" s="245"/>
      <c r="G75" s="46"/>
    </row>
    <row r="76" spans="1:7" s="52" customFormat="1" x14ac:dyDescent="0.3">
      <c r="A76" s="48" t="s">
        <v>4</v>
      </c>
      <c r="B76" s="49">
        <v>18</v>
      </c>
      <c r="C76" s="152" t="str">
        <f xml:space="preserve"> IF(B76="","",setValueToTime(B76))</f>
        <v>1h30min</v>
      </c>
      <c r="D76" s="166" t="s">
        <v>65</v>
      </c>
      <c r="E76" s="240"/>
      <c r="F76" s="241"/>
      <c r="G76" s="51"/>
    </row>
    <row r="77" spans="1:7" s="52" customFormat="1" ht="27" x14ac:dyDescent="0.3">
      <c r="A77" s="53" t="s">
        <v>33</v>
      </c>
      <c r="B77" s="54">
        <v>18</v>
      </c>
      <c r="C77" s="153" t="str">
        <f t="shared" ref="C77:C83" si="6" xml:space="preserve"> IF(B77="","",setValueToTime(B77))</f>
        <v>1h30min</v>
      </c>
      <c r="D77" s="167" t="s">
        <v>66</v>
      </c>
      <c r="E77" s="232"/>
      <c r="F77" s="233"/>
      <c r="G77" s="51"/>
    </row>
    <row r="78" spans="1:7" s="52" customFormat="1" x14ac:dyDescent="0.3">
      <c r="A78" s="53"/>
      <c r="B78" s="54"/>
      <c r="C78" s="153" t="str">
        <f t="shared" si="6"/>
        <v/>
      </c>
      <c r="D78" s="55"/>
      <c r="E78" s="232"/>
      <c r="F78" s="233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32"/>
      <c r="F79" s="233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32"/>
      <c r="F80" s="233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32"/>
      <c r="F81" s="233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32"/>
      <c r="F82" s="233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34"/>
      <c r="F83" s="235"/>
      <c r="G83" s="51"/>
    </row>
    <row r="84" spans="1:7" s="52" customFormat="1" ht="15" thickBot="1" x14ac:dyDescent="0.35">
      <c r="A84" s="162" t="s">
        <v>29</v>
      </c>
      <c r="B84" s="83">
        <f>SUM(B76:B83)</f>
        <v>36</v>
      </c>
      <c r="C84" s="162" t="str">
        <f xml:space="preserve"> setValueToTime(B84)</f>
        <v>3h</v>
      </c>
      <c r="D84" s="121"/>
      <c r="E84" s="242"/>
      <c r="F84" s="243"/>
      <c r="G84" s="51"/>
    </row>
    <row r="85" spans="1:7" s="59" customFormat="1" x14ac:dyDescent="0.3">
      <c r="A85" s="77"/>
      <c r="B85" s="77"/>
      <c r="C85" s="77"/>
      <c r="D85" s="77"/>
      <c r="E85" s="77"/>
      <c r="F85" s="77"/>
      <c r="G85" s="58"/>
    </row>
  </sheetData>
  <sheetProtection formatRows="0" insertRows="0" insertHyperlinks="0" deleteRows="0" selectLockedCells="1"/>
  <mergeCells count="70">
    <mergeCell ref="E20:F20"/>
    <mergeCell ref="E22:F22"/>
    <mergeCell ref="E23:F23"/>
    <mergeCell ref="E24:F24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12:F12"/>
    <mergeCell ref="E21:F21"/>
    <mergeCell ref="E15:F15"/>
    <mergeCell ref="E16:F16"/>
    <mergeCell ref="E17:F17"/>
    <mergeCell ref="E18:F18"/>
    <mergeCell ref="E19:F19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44:F44"/>
    <mergeCell ref="E45:F45"/>
    <mergeCell ref="E46:F46"/>
    <mergeCell ref="E47:F47"/>
    <mergeCell ref="E48:F48"/>
    <mergeCell ref="E39:F39"/>
    <mergeCell ref="E40:F40"/>
    <mergeCell ref="E41:F41"/>
    <mergeCell ref="E42:F42"/>
    <mergeCell ref="E43:F43"/>
    <mergeCell ref="E69:F69"/>
    <mergeCell ref="E70:F70"/>
    <mergeCell ref="E71:F71"/>
    <mergeCell ref="E72:F72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81:F81"/>
    <mergeCell ref="E82:F82"/>
    <mergeCell ref="E83:F83"/>
    <mergeCell ref="E84:F84"/>
    <mergeCell ref="E63:F63"/>
    <mergeCell ref="E64:F64"/>
    <mergeCell ref="E65:F65"/>
    <mergeCell ref="E66:F66"/>
    <mergeCell ref="E67:F67"/>
    <mergeCell ref="E68:F68"/>
    <mergeCell ref="E75:F75"/>
    <mergeCell ref="E76:F76"/>
    <mergeCell ref="E77:F77"/>
    <mergeCell ref="E78:F78"/>
    <mergeCell ref="E79:F79"/>
    <mergeCell ref="E80:F80"/>
  </mergeCells>
  <phoneticPr fontId="0" type="noConversion"/>
  <conditionalFormatting sqref="B84">
    <cfRule type="cellIs" dxfId="9" priority="7" operator="greaterThan">
      <formula>60</formula>
    </cfRule>
  </conditionalFormatting>
  <conditionalFormatting sqref="B72">
    <cfRule type="cellIs" dxfId="8" priority="6" operator="greaterThan">
      <formula>60</formula>
    </cfRule>
  </conditionalFormatting>
  <conditionalFormatting sqref="B60">
    <cfRule type="cellIs" dxfId="7" priority="5" operator="greaterThan">
      <formula>60</formula>
    </cfRule>
  </conditionalFormatting>
  <conditionalFormatting sqref="B48">
    <cfRule type="cellIs" dxfId="6" priority="4" operator="greaterThan">
      <formula>60</formula>
    </cfRule>
  </conditionalFormatting>
  <conditionalFormatting sqref="B36">
    <cfRule type="cellIs" dxfId="5" priority="3" operator="greaterThan">
      <formula>60</formula>
    </cfRule>
  </conditionalFormatting>
  <conditionalFormatting sqref="B24">
    <cfRule type="cellIs" dxfId="4" priority="2" operator="greaterThan">
      <formula>60</formula>
    </cfRule>
  </conditionalFormatting>
  <conditionalFormatting sqref="B12">
    <cfRule type="cellIs" dxfId="3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76:B83 B64:B71 B52:B59 B40:B47 B28:B35 B16:B23 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84 B72 B60 B48 B36 B24 B12">
      <formula1>0</formula1>
      <formula2>60</formula2>
    </dataValidation>
    <dataValidation type="list" allowBlank="1" showInputMessage="1" showErrorMessage="1" sqref="A76:A83 A64:A71 A52:A59 A40:A47 A28:A35 A16:A23 A4:A11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212"/>
      <c r="B10" s="212"/>
      <c r="C10" s="212"/>
      <c r="D10" s="212"/>
      <c r="E10" s="212"/>
      <c r="F10" s="212"/>
      <c r="G10" s="212"/>
      <c r="H10" s="212"/>
      <c r="I10" s="212"/>
      <c r="J10" s="212"/>
      <c r="K10" s="212"/>
      <c r="L10" s="212"/>
      <c r="M10" s="212"/>
      <c r="N10" s="212"/>
      <c r="O10" s="212"/>
      <c r="P10" s="212"/>
      <c r="Q10" s="212"/>
      <c r="R10" s="212"/>
      <c r="S10" s="212"/>
      <c r="T10" s="212"/>
      <c r="U10" s="212"/>
      <c r="V10" s="212"/>
      <c r="W10" s="212"/>
      <c r="X10" s="212"/>
      <c r="Y10" s="212"/>
      <c r="Z10" s="212"/>
      <c r="AA10" s="212"/>
      <c r="AB10" s="212"/>
      <c r="AC10" s="212"/>
      <c r="AD10" s="212"/>
      <c r="AE10" s="212"/>
      <c r="AF10" s="212"/>
      <c r="AG10" s="212"/>
      <c r="AH10" s="212"/>
      <c r="AI10" s="212"/>
      <c r="AJ10" s="212"/>
      <c r="AK10" s="212"/>
      <c r="AL10" s="212"/>
      <c r="AM10" s="212"/>
      <c r="AN10" s="212"/>
      <c r="AO10" s="212"/>
      <c r="AP10" s="212"/>
      <c r="AQ10" s="212"/>
      <c r="AR10" s="212"/>
      <c r="AS10" s="212"/>
      <c r="AT10" s="212"/>
      <c r="AU10" s="212"/>
      <c r="AV10" s="212"/>
      <c r="AW10" s="212"/>
      <c r="AX10" s="212"/>
      <c r="AY10" s="212"/>
      <c r="AZ10" s="212"/>
      <c r="BA10" s="212"/>
      <c r="BB10" s="212"/>
      <c r="BC10" s="212"/>
      <c r="BD10" s="212"/>
      <c r="BE10" s="212"/>
      <c r="BF10" s="212"/>
      <c r="BG10" s="212"/>
      <c r="BH10" s="212"/>
      <c r="BI10" s="90"/>
    </row>
    <row r="11" spans="1:61" ht="18" x14ac:dyDescent="0.25">
      <c r="A11" s="231"/>
      <c r="B11" s="231"/>
      <c r="C11" s="231"/>
      <c r="D11" s="231"/>
      <c r="E11" s="231"/>
      <c r="F11" s="231"/>
      <c r="G11" s="231"/>
      <c r="H11" s="231"/>
      <c r="I11" s="231"/>
      <c r="J11" s="231"/>
      <c r="K11" s="231"/>
      <c r="L11" s="231"/>
      <c r="M11" s="231"/>
      <c r="N11" s="231"/>
      <c r="O11" s="231"/>
      <c r="P11" s="231"/>
      <c r="Q11" s="231"/>
      <c r="R11" s="231"/>
      <c r="S11" s="231"/>
      <c r="T11" s="231"/>
      <c r="U11" s="231"/>
      <c r="V11" s="231"/>
      <c r="W11" s="231"/>
      <c r="X11" s="231"/>
      <c r="Y11" s="231"/>
      <c r="Z11" s="231"/>
      <c r="AA11" s="231"/>
      <c r="AB11" s="231"/>
      <c r="AC11" s="231"/>
      <c r="AD11" s="231"/>
      <c r="AE11" s="231"/>
      <c r="AF11" s="231"/>
      <c r="AG11" s="231"/>
      <c r="AH11" s="231"/>
      <c r="AI11" s="231"/>
      <c r="AJ11" s="231"/>
      <c r="AK11" s="231"/>
      <c r="AL11" s="231"/>
      <c r="AM11" s="231"/>
      <c r="AN11" s="231"/>
      <c r="AO11" s="231"/>
      <c r="AP11" s="231"/>
      <c r="AQ11" s="231"/>
      <c r="AR11" s="231"/>
      <c r="AS11" s="231"/>
      <c r="AT11" s="231"/>
      <c r="AU11" s="231"/>
      <c r="AV11" s="231"/>
      <c r="AW11" s="231"/>
      <c r="AX11" s="231"/>
      <c r="AY11" s="231"/>
      <c r="AZ11" s="231"/>
      <c r="BA11" s="231"/>
      <c r="BB11" s="231"/>
      <c r="BC11" s="231"/>
      <c r="BD11" s="231"/>
      <c r="BE11" s="231"/>
      <c r="BF11" s="231"/>
      <c r="BG11" s="231"/>
      <c r="BH11" s="231"/>
      <c r="BI11" s="90"/>
    </row>
    <row r="12" spans="1:61" ht="18.75" thickBot="1" x14ac:dyDescent="0.3">
      <c r="A12" s="246"/>
      <c r="B12" s="246"/>
      <c r="C12" s="246"/>
      <c r="D12" s="246"/>
      <c r="E12" s="246"/>
      <c r="F12" s="246"/>
      <c r="G12" s="246"/>
      <c r="H12" s="246"/>
      <c r="I12" s="246"/>
      <c r="J12" s="246"/>
      <c r="K12" s="246"/>
      <c r="L12" s="246"/>
      <c r="M12" s="246"/>
      <c r="N12" s="246"/>
      <c r="O12" s="246"/>
      <c r="P12" s="246"/>
      <c r="Q12" s="246"/>
      <c r="R12" s="246"/>
      <c r="S12" s="246"/>
      <c r="T12" s="246"/>
      <c r="U12" s="246"/>
      <c r="V12" s="246"/>
      <c r="W12" s="246"/>
      <c r="X12" s="246"/>
      <c r="Y12" s="246"/>
      <c r="Z12" s="246"/>
      <c r="AA12" s="246"/>
      <c r="AB12" s="246"/>
      <c r="AC12" s="246"/>
      <c r="AD12" s="246"/>
      <c r="AE12" s="246"/>
      <c r="AF12" s="246"/>
      <c r="AG12" s="246"/>
      <c r="AH12" s="246"/>
      <c r="AI12" s="246"/>
      <c r="AJ12" s="246"/>
      <c r="AK12" s="246"/>
      <c r="AL12" s="246"/>
      <c r="AM12" s="246"/>
      <c r="AN12" s="246"/>
      <c r="AO12" s="246"/>
      <c r="AP12" s="246"/>
      <c r="AQ12" s="246"/>
      <c r="AR12" s="246"/>
      <c r="AS12" s="246"/>
      <c r="AT12" s="246"/>
      <c r="AU12" s="246"/>
      <c r="AV12" s="246"/>
      <c r="AW12" s="246"/>
      <c r="AX12" s="246"/>
      <c r="AY12" s="246"/>
      <c r="AZ12" s="246"/>
      <c r="BA12" s="246"/>
      <c r="BB12" s="246"/>
      <c r="BC12" s="246"/>
      <c r="BD12" s="246"/>
      <c r="BE12" s="246"/>
      <c r="BF12" s="246"/>
      <c r="BG12" s="246"/>
      <c r="BH12" s="246"/>
      <c r="BI12" s="90"/>
    </row>
    <row r="13" spans="1:61" ht="18.75" thickBot="1" x14ac:dyDescent="0.3">
      <c r="A13" s="228" t="s">
        <v>12</v>
      </c>
      <c r="B13" s="229"/>
      <c r="C13" s="229"/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29"/>
      <c r="P13" s="229"/>
      <c r="Q13" s="229"/>
      <c r="R13" s="229"/>
      <c r="S13" s="229"/>
      <c r="T13" s="229"/>
      <c r="U13" s="229"/>
      <c r="V13" s="229"/>
      <c r="W13" s="229"/>
      <c r="X13" s="229"/>
      <c r="Y13" s="229"/>
      <c r="Z13" s="229"/>
      <c r="AA13" s="229"/>
      <c r="AB13" s="229"/>
      <c r="AC13" s="229"/>
      <c r="AD13" s="229"/>
      <c r="AE13" s="229"/>
      <c r="AF13" s="229"/>
      <c r="AG13" s="229"/>
      <c r="AH13" s="229"/>
      <c r="AI13" s="229"/>
      <c r="AJ13" s="229"/>
      <c r="AK13" s="229"/>
      <c r="AL13" s="229"/>
      <c r="AM13" s="229"/>
      <c r="AN13" s="229"/>
      <c r="AO13" s="229"/>
      <c r="AP13" s="229"/>
      <c r="AQ13" s="229"/>
      <c r="AR13" s="229"/>
      <c r="AS13" s="229"/>
      <c r="AT13" s="229"/>
      <c r="AU13" s="229"/>
      <c r="AV13" s="229"/>
      <c r="AW13" s="229"/>
      <c r="AX13" s="229"/>
      <c r="AY13" s="229"/>
      <c r="AZ13" s="229"/>
      <c r="BA13" s="229"/>
      <c r="BB13" s="229"/>
      <c r="BC13" s="229"/>
      <c r="BD13" s="229"/>
      <c r="BE13" s="229"/>
      <c r="BF13" s="229"/>
      <c r="BG13" s="229"/>
      <c r="BH13" s="230"/>
      <c r="BI13" s="90"/>
    </row>
    <row r="14" spans="1:61" ht="15.75" thickBot="1" x14ac:dyDescent="0.35">
      <c r="A14" s="103"/>
      <c r="B14" s="104"/>
      <c r="C14" s="104"/>
      <c r="D14" s="104"/>
      <c r="E14" s="214" t="s">
        <v>36</v>
      </c>
      <c r="F14" s="214"/>
      <c r="G14" s="214"/>
      <c r="H14" s="214"/>
      <c r="I14" s="104"/>
      <c r="J14" s="104"/>
      <c r="K14" s="215" t="s">
        <v>24</v>
      </c>
      <c r="L14" s="215"/>
      <c r="M14" s="215"/>
      <c r="N14" s="215"/>
      <c r="O14" s="129"/>
      <c r="P14" s="129"/>
      <c r="Q14" s="214" t="s">
        <v>37</v>
      </c>
      <c r="R14" s="214"/>
      <c r="S14" s="214"/>
      <c r="T14" s="214"/>
      <c r="U14" s="104"/>
      <c r="V14" s="104"/>
      <c r="W14" s="215" t="s">
        <v>25</v>
      </c>
      <c r="X14" s="215"/>
      <c r="Y14" s="215"/>
      <c r="Z14" s="215"/>
      <c r="AA14" s="129"/>
      <c r="AB14" s="129"/>
      <c r="AC14" s="214" t="s">
        <v>38</v>
      </c>
      <c r="AD14" s="214"/>
      <c r="AE14" s="214"/>
      <c r="AF14" s="214"/>
      <c r="AG14" s="104"/>
      <c r="AH14" s="104"/>
      <c r="AI14" s="215" t="s">
        <v>26</v>
      </c>
      <c r="AJ14" s="215"/>
      <c r="AK14" s="215"/>
      <c r="AL14" s="215"/>
      <c r="AM14" s="129"/>
      <c r="AN14" s="129"/>
      <c r="AO14" s="214" t="s">
        <v>39</v>
      </c>
      <c r="AP14" s="214"/>
      <c r="AQ14" s="214"/>
      <c r="AR14" s="214"/>
      <c r="AS14" s="104"/>
      <c r="AT14" s="104"/>
      <c r="AU14" s="215" t="s">
        <v>27</v>
      </c>
      <c r="AV14" s="215"/>
      <c r="AW14" s="215"/>
      <c r="AX14" s="215"/>
      <c r="AY14" s="129"/>
      <c r="AZ14" s="129"/>
      <c r="BA14" s="214" t="s">
        <v>40</v>
      </c>
      <c r="BB14" s="214"/>
      <c r="BC14" s="214"/>
      <c r="BD14" s="214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12</v>
      </c>
      <c r="B1" s="163">
        <v>1</v>
      </c>
      <c r="C1" s="163"/>
      <c r="D1" s="82" t="s">
        <v>15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42</v>
      </c>
      <c r="C2" s="151"/>
      <c r="D2" s="80" t="s">
        <v>13</v>
      </c>
      <c r="E2" s="238" t="s">
        <v>14</v>
      </c>
      <c r="F2" s="239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40"/>
      <c r="F3" s="241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32"/>
      <c r="F4" s="233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32"/>
      <c r="F5" s="233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32"/>
      <c r="F6" s="233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32"/>
      <c r="F7" s="233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32"/>
      <c r="F8" s="233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32"/>
      <c r="F9" s="233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34"/>
      <c r="F10" s="235"/>
      <c r="G10" s="51"/>
    </row>
    <row r="11" spans="1:7" s="52" customFormat="1" ht="15" thickBot="1" x14ac:dyDescent="0.35">
      <c r="A11" s="111" t="s">
        <v>29</v>
      </c>
      <c r="B11" s="84">
        <f>SUM(B3:B10)</f>
        <v>0</v>
      </c>
      <c r="C11" s="111" t="str">
        <f xml:space="preserve"> setValueToTime(B11)</f>
        <v>0h</v>
      </c>
      <c r="D11" s="120"/>
      <c r="E11" s="236"/>
      <c r="F11" s="237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12</v>
      </c>
      <c r="B1" s="164">
        <v>1</v>
      </c>
      <c r="C1" s="164"/>
      <c r="D1" s="157" t="s">
        <v>15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42</v>
      </c>
      <c r="C2" s="160"/>
      <c r="D2" s="78" t="s">
        <v>13</v>
      </c>
      <c r="E2" s="244" t="s">
        <v>14</v>
      </c>
      <c r="F2" s="245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40"/>
      <c r="F3" s="241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32"/>
      <c r="F4" s="233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32"/>
      <c r="F5" s="233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32"/>
      <c r="F6" s="233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32"/>
      <c r="F7" s="233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32"/>
      <c r="F8" s="233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32"/>
      <c r="F9" s="233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34"/>
      <c r="F10" s="235"/>
      <c r="G10" s="51"/>
    </row>
    <row r="11" spans="1:7" s="52" customFormat="1" ht="15" thickBot="1" x14ac:dyDescent="0.35">
      <c r="A11" s="162" t="s">
        <v>29</v>
      </c>
      <c r="B11" s="83">
        <f>SUM(B3:B10)</f>
        <v>0</v>
      </c>
      <c r="C11" s="162" t="str">
        <f xml:space="preserve"> setValueToTime(B11)</f>
        <v>0h</v>
      </c>
      <c r="D11" s="121"/>
      <c r="E11" s="242"/>
      <c r="F11" s="243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Emilien Charpié</dc:creator>
  <cp:lastModifiedBy>Emilien Charpié</cp:lastModifiedBy>
  <cp:lastPrinted>2019-05-08T10:31:53Z</cp:lastPrinted>
  <dcterms:created xsi:type="dcterms:W3CDTF">1996-10-21T11:03:58Z</dcterms:created>
  <dcterms:modified xsi:type="dcterms:W3CDTF">2022-06-07T12:37:23Z</dcterms:modified>
</cp:coreProperties>
</file>