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09-Outils\UwAmp-PHP8\www\ToDoList\Documentation\"/>
    </mc:Choice>
  </mc:AlternateContent>
  <bookViews>
    <workbookView xWindow="0" yWindow="0" windowWidth="28800" windowHeight="11700" activeTab="2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0" l="1"/>
  <c r="C11" i="10"/>
  <c r="C10" i="10"/>
  <c r="C9" i="10"/>
  <c r="C8" i="10"/>
  <c r="C7" i="10"/>
  <c r="C6" i="10"/>
  <c r="C5" i="10"/>
  <c r="B24" i="10"/>
  <c r="C23" i="10"/>
  <c r="C22" i="10"/>
  <c r="C21" i="10"/>
  <c r="C20" i="10"/>
  <c r="C19" i="10"/>
  <c r="C18" i="10"/>
  <c r="C17" i="10"/>
  <c r="B12" i="12"/>
  <c r="C11" i="12"/>
  <c r="C10" i="12"/>
  <c r="C9" i="12"/>
  <c r="C8" i="12"/>
  <c r="C7" i="12"/>
  <c r="C6" i="12"/>
  <c r="C5" i="12"/>
  <c r="C4" i="12"/>
  <c r="B24" i="12"/>
  <c r="C23" i="12"/>
  <c r="C22" i="12"/>
  <c r="C21" i="12"/>
  <c r="C20" i="12"/>
  <c r="C19" i="12"/>
  <c r="C18" i="12"/>
  <c r="C17" i="12"/>
  <c r="C16" i="12"/>
  <c r="C4" i="10"/>
  <c r="C16" i="10"/>
  <c r="C12" i="10"/>
  <c r="C24" i="10"/>
  <c r="C12" i="12"/>
  <c r="C24" i="12"/>
  <c r="B36" i="12" l="1"/>
  <c r="C35" i="12"/>
  <c r="C34" i="12"/>
  <c r="C33" i="12"/>
  <c r="C32" i="12"/>
  <c r="C31" i="12"/>
  <c r="C30" i="12"/>
  <c r="C29" i="12"/>
  <c r="B48" i="12"/>
  <c r="C47" i="12"/>
  <c r="C46" i="12"/>
  <c r="C45" i="12"/>
  <c r="C44" i="12"/>
  <c r="C43" i="12"/>
  <c r="C42" i="12"/>
  <c r="C41" i="12"/>
  <c r="B36" i="10"/>
  <c r="C35" i="10"/>
  <c r="C34" i="10"/>
  <c r="C33" i="10"/>
  <c r="C32" i="10"/>
  <c r="C31" i="10"/>
  <c r="C30" i="10"/>
  <c r="C29" i="10"/>
  <c r="B48" i="10"/>
  <c r="C47" i="10"/>
  <c r="C46" i="10"/>
  <c r="C45" i="10"/>
  <c r="C44" i="10"/>
  <c r="C43" i="10"/>
  <c r="C42" i="10"/>
  <c r="C41" i="10"/>
  <c r="C28" i="10"/>
  <c r="C40" i="10"/>
  <c r="C36" i="10"/>
  <c r="C48" i="10"/>
  <c r="C28" i="12"/>
  <c r="C36" i="12"/>
  <c r="C40" i="12"/>
  <c r="C48" i="12"/>
  <c r="B60" i="12" l="1"/>
  <c r="C59" i="12"/>
  <c r="C58" i="12"/>
  <c r="C57" i="12"/>
  <c r="C56" i="12"/>
  <c r="C55" i="12"/>
  <c r="C54" i="12"/>
  <c r="B72" i="12"/>
  <c r="C71" i="12"/>
  <c r="C70" i="12"/>
  <c r="C69" i="12"/>
  <c r="C68" i="12"/>
  <c r="C67" i="12"/>
  <c r="C66" i="12"/>
  <c r="C65" i="12"/>
  <c r="B84" i="12"/>
  <c r="C83" i="12"/>
  <c r="C82" i="12"/>
  <c r="C81" i="12"/>
  <c r="C80" i="12"/>
  <c r="C79" i="12"/>
  <c r="C78" i="12"/>
  <c r="B60" i="10"/>
  <c r="C59" i="10"/>
  <c r="C58" i="10"/>
  <c r="C57" i="10"/>
  <c r="C56" i="10"/>
  <c r="C55" i="10"/>
  <c r="C54" i="10"/>
  <c r="C53" i="10"/>
  <c r="B72" i="10"/>
  <c r="C71" i="10"/>
  <c r="C70" i="10"/>
  <c r="C69" i="10"/>
  <c r="C68" i="10"/>
  <c r="C67" i="10"/>
  <c r="C66" i="10"/>
  <c r="C65" i="10"/>
  <c r="C52" i="10"/>
  <c r="C64" i="10"/>
  <c r="C77" i="12"/>
  <c r="C76" i="12"/>
  <c r="C84" i="12"/>
  <c r="C60" i="10"/>
  <c r="C72" i="10"/>
  <c r="C53" i="12"/>
  <c r="C52" i="12"/>
  <c r="C60" i="12"/>
  <c r="C72" i="12"/>
  <c r="C64" i="12"/>
  <c r="B84" i="10" l="1"/>
  <c r="C83" i="10"/>
  <c r="C82" i="10"/>
  <c r="C81" i="10"/>
  <c r="C80" i="10"/>
  <c r="C79" i="10"/>
  <c r="C78" i="10"/>
  <c r="C77" i="10"/>
  <c r="C76" i="10"/>
  <c r="C84" i="10"/>
  <c r="B96" i="12" l="1"/>
  <c r="C95" i="12"/>
  <c r="C94" i="12"/>
  <c r="C93" i="12"/>
  <c r="C92" i="12"/>
  <c r="C91" i="12"/>
  <c r="C90" i="12"/>
  <c r="C89" i="12"/>
  <c r="B108" i="12"/>
  <c r="C107" i="12"/>
  <c r="C106" i="12"/>
  <c r="C105" i="12"/>
  <c r="C104" i="12"/>
  <c r="C103" i="12"/>
  <c r="C102" i="12"/>
  <c r="B120" i="12"/>
  <c r="C119" i="12"/>
  <c r="C118" i="12"/>
  <c r="C117" i="12"/>
  <c r="C116" i="12"/>
  <c r="C115" i="12"/>
  <c r="C114" i="12"/>
  <c r="B132" i="12"/>
  <c r="C131" i="12"/>
  <c r="C130" i="12"/>
  <c r="C129" i="12"/>
  <c r="C128" i="12"/>
  <c r="C127" i="12"/>
  <c r="B144" i="12"/>
  <c r="C143" i="12"/>
  <c r="C142" i="12"/>
  <c r="C141" i="12"/>
  <c r="C140" i="12"/>
  <c r="C139" i="12"/>
  <c r="C138" i="12"/>
  <c r="C137" i="12"/>
  <c r="B156" i="12"/>
  <c r="C155" i="12"/>
  <c r="C154" i="12"/>
  <c r="C153" i="12"/>
  <c r="C152" i="12"/>
  <c r="C151" i="12"/>
  <c r="C150" i="12"/>
  <c r="C149" i="12"/>
  <c r="B168" i="12"/>
  <c r="C167" i="12"/>
  <c r="C166" i="12"/>
  <c r="C165" i="12"/>
  <c r="C164" i="12"/>
  <c r="C163" i="12"/>
  <c r="C162" i="12"/>
  <c r="B96" i="10"/>
  <c r="C95" i="10"/>
  <c r="C94" i="10"/>
  <c r="C93" i="10"/>
  <c r="C92" i="10"/>
  <c r="C91" i="10"/>
  <c r="C90" i="10"/>
  <c r="C89" i="10"/>
  <c r="B108" i="10"/>
  <c r="C107" i="10"/>
  <c r="C106" i="10"/>
  <c r="C105" i="10"/>
  <c r="C104" i="10"/>
  <c r="C103" i="10"/>
  <c r="C102" i="10"/>
  <c r="C101" i="10"/>
  <c r="B120" i="10"/>
  <c r="C119" i="10"/>
  <c r="C118" i="10"/>
  <c r="C117" i="10"/>
  <c r="C116" i="10"/>
  <c r="C115" i="10"/>
  <c r="C114" i="10"/>
  <c r="C113" i="10"/>
  <c r="B132" i="10"/>
  <c r="C131" i="10"/>
  <c r="C130" i="10"/>
  <c r="C129" i="10"/>
  <c r="C128" i="10"/>
  <c r="C127" i="10"/>
  <c r="C126" i="10"/>
  <c r="B144" i="10"/>
  <c r="C143" i="10"/>
  <c r="C142" i="10"/>
  <c r="C141" i="10"/>
  <c r="C140" i="10"/>
  <c r="C139" i="10"/>
  <c r="C138" i="10"/>
  <c r="B156" i="10"/>
  <c r="C155" i="10"/>
  <c r="C154" i="10"/>
  <c r="C153" i="10"/>
  <c r="C152" i="10"/>
  <c r="C151" i="10"/>
  <c r="C150" i="10"/>
  <c r="C149" i="10"/>
  <c r="B168" i="10"/>
  <c r="C167" i="10"/>
  <c r="C166" i="10"/>
  <c r="C165" i="10"/>
  <c r="C164" i="10"/>
  <c r="C163" i="10"/>
  <c r="C162" i="10"/>
  <c r="C88" i="12"/>
  <c r="C112" i="12"/>
  <c r="C144" i="12"/>
  <c r="C160" i="10"/>
  <c r="C126" i="12"/>
  <c r="C96" i="10"/>
  <c r="C108" i="10"/>
  <c r="C136" i="12"/>
  <c r="C100" i="10"/>
  <c r="C132" i="10"/>
  <c r="C148" i="12"/>
  <c r="C112" i="10"/>
  <c r="C144" i="10"/>
  <c r="C120" i="10"/>
  <c r="C161" i="12"/>
  <c r="C125" i="10"/>
  <c r="C156" i="10"/>
  <c r="C160" i="12"/>
  <c r="C124" i="10"/>
  <c r="C168" i="10"/>
  <c r="C125" i="12"/>
  <c r="C124" i="12"/>
  <c r="C96" i="12"/>
  <c r="C137" i="10"/>
  <c r="C101" i="12"/>
  <c r="C108" i="12"/>
  <c r="C136" i="10"/>
  <c r="C88" i="10"/>
  <c r="C100" i="12"/>
  <c r="C120" i="12"/>
  <c r="C148" i="10"/>
  <c r="C113" i="12"/>
  <c r="C132" i="12"/>
  <c r="C161" i="10"/>
  <c r="C156" i="12"/>
  <c r="C168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1" i="16"/>
  <c r="C11" i="15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<sst xmlns="http://schemas.openxmlformats.org/spreadsheetml/2006/main" count="576" uniqueCount="112">
  <si>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</si>
  <si>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</si>
  <si>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</si>
  <si>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</si>
  <si>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</si>
  <si>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</si>
  <si>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</si>
  <si>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</si>
  <si>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</si>
  <si>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</si>
  <si>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</si>
  <si>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</si>
  <si>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</si>
  <si>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</si>
  <si>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</si>
  <si>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</si>
  <si>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</si>
  <si>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</si>
  <si>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</si>
  <si>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</si>
  <si>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</si>
  <si>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</si>
  <si>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</si>
  <si>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</si>
  <si>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</si>
  <si>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</si>
  <si>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</si>
  <si>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</si>
  <si>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</si>
  <si>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</si>
  <si>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</si>
  <si>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</si>
  <si>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</si>
  <si>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</si>
  <si>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</si>
  <si>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</si>
  <si>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</si>
  <si>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</si>
  <si>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</si>
  <si>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</si>
  <si>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</si>
  <si>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</si>
  <si>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</si>
  <si>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Démo-Mot</t>
  </si>
  <si>
    <t>Emilien Charpié</t>
  </si>
  <si>
    <t>Min 2</t>
  </si>
  <si>
    <t>Réalisation - Calendrier</t>
  </si>
  <si>
    <t>Réalisation - Ajout des tâches</t>
  </si>
  <si>
    <t>Réalisation - Ajout des groupes</t>
  </si>
  <si>
    <t>Réalisation - Suppression des tâches</t>
  </si>
  <si>
    <t>Réalisation - Suppression des groupes</t>
  </si>
  <si>
    <t>Recherche et compréhension de la template</t>
  </si>
  <si>
    <t>Faire le calendrier</t>
  </si>
  <si>
    <t>Compréhension de la template</t>
  </si>
  <si>
    <t>Recherche - Spécifications techniques</t>
  </si>
  <si>
    <t>Crecherche sur le jQuery car la template utilise le jQuery</t>
  </si>
  <si>
    <t>Création d'un fichier json et ajout de toutes les tâches dedans</t>
  </si>
  <si>
    <t>Création de l'interface des groupes de manière dynamique avec le fichier json</t>
  </si>
  <si>
    <t>Ajout de l'interface des tâches selon dans quelle groupe elle se situes, et ce avec les données du fichier json</t>
  </si>
  <si>
    <t>Ajout des tâche sur la page des tâches</t>
  </si>
  <si>
    <t>Ajout des groupes sur la page des groupes</t>
  </si>
  <si>
    <t>lundi, 30 mai 2022</t>
  </si>
  <si>
    <t>mardi, 31 mai 2022</t>
  </si>
  <si>
    <t>mercredi, 1 juin 2022</t>
  </si>
  <si>
    <t>vendredi, 3 juin 2022</t>
  </si>
  <si>
    <t>Présentation du DémoMot par M.Duding</t>
  </si>
  <si>
    <t>Recherche d'une template et trouvée une qui fait le calendrier en jQuery</t>
  </si>
  <si>
    <t>Analyse de la template car elle est complexe</t>
  </si>
  <si>
    <t>Recherche sur le jQuery et faire quelques tests</t>
  </si>
  <si>
    <t>Ajout des tâches dans un fichier json et affichage des tâches dans le calendrier (en lian le fichier json)</t>
  </si>
  <si>
    <t>Ajout des groupes présents dans le fichier json sur la page</t>
  </si>
  <si>
    <t>Début de l'ajout des tâches depuis le fichier json dans la page des tâches</t>
  </si>
  <si>
    <t>Fin de l'ajout des tâches dans la page des tâches, selon dans quel groupes elle appartiennent</t>
  </si>
  <si>
    <t>Recherche sur l'AJAX, car il faudra de l'AJAX pour l'ajout des tâches.</t>
  </si>
  <si>
    <t>Ajout des tâches sur la page des tâches grâce a une requête AJAX</t>
  </si>
  <si>
    <t>Ajout des groupes sur la page des groupes grâce a une requête AJAX</t>
  </si>
  <si>
    <t>Séquence 7</t>
  </si>
  <si>
    <t>Séquence 6</t>
  </si>
  <si>
    <t>Séquence 5</t>
  </si>
  <si>
    <t>Séquence 4</t>
  </si>
  <si>
    <t>Suppression des tâches quand l'utilisateur clique sur términer les tâches (reste à incrémenter l'attribut "finish dans le fichier json)</t>
  </si>
  <si>
    <t>mardi, 7 juin 2022</t>
  </si>
  <si>
    <t>Ajout du design et de la fonctionnalité pour supprimer les groupes</t>
  </si>
  <si>
    <t>mercredi, 8 juin 2022</t>
  </si>
  <si>
    <t xml:space="preserve">Ajout de la fonction de la suppression des groupes. </t>
  </si>
  <si>
    <t>Création du setup pour installer l'application</t>
  </si>
  <si>
    <t>Réalisation - Setup d'installation</t>
  </si>
  <si>
    <t>Réalisation du setup d'installation</t>
  </si>
  <si>
    <t>Finition du setup d'iinstallation</t>
  </si>
  <si>
    <t>Séquence 8</t>
  </si>
  <si>
    <t>Séquence 10</t>
  </si>
  <si>
    <t>Séquence 9</t>
  </si>
  <si>
    <t>Recherche pour savoir comment mettre un répértoire dans un .exe</t>
  </si>
  <si>
    <t xml:space="preserve">Réalisation - Application </t>
  </si>
  <si>
    <t>Finistion du setup d'installation</t>
  </si>
  <si>
    <t>Création de l'application qui ouvre wamp et qui lance le site, reste à détécter quand le site se ferme pour pouvoir quitter uwamp</t>
  </si>
  <si>
    <t>Séquence 11</t>
  </si>
  <si>
    <t>Séquence 12</t>
  </si>
  <si>
    <t>vendredi, 10 juin 2022</t>
  </si>
  <si>
    <t>Faire l'application qui ouvre wamp et le site et qui les fermes</t>
  </si>
  <si>
    <t>Réalisation - Modification d'une tâche</t>
  </si>
  <si>
    <t>Réalisation - Exportation et importation d'un fichier de tâche</t>
  </si>
  <si>
    <t>36h45min</t>
  </si>
  <si>
    <t>31h30min</t>
  </si>
  <si>
    <t>- 5h15min</t>
  </si>
  <si>
    <t>Avancement dans l'application pour ouvrire le site</t>
  </si>
  <si>
    <t>Finition de l'application pour ouvrir le site</t>
  </si>
  <si>
    <t>lundi, 13 juin 2022</t>
  </si>
  <si>
    <t>Modification d'une tâche (nom, date, heure, description et icone)</t>
  </si>
  <si>
    <t>Modification d'une tâche</t>
  </si>
  <si>
    <t>Séquence 14</t>
  </si>
  <si>
    <t>Séquence 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</si>
</sst>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FACD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47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14" fontId="6" fillId="8" borderId="42" xfId="0" applyNumberFormat="1" applyFont="1" applyFill="1" applyBorder="1" applyAlignment="1" applyProtection="1">
      <alignment horizontal="left" vertical="center" indent="2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2" fillId="17" borderId="24" xfId="0" applyFont="1" applyFill="1" applyBorder="1" applyProtection="1"/>
    <xf numFmtId="0" fontId="2" fillId="17" borderId="25" xfId="0" applyFont="1" applyFill="1" applyBorder="1" applyProtection="1"/>
    <xf numFmtId="0" fontId="2" fillId="17" borderId="25" xfId="0" applyFont="1" applyFill="1" applyBorder="1"/>
    <xf numFmtId="0" fontId="2" fillId="17" borderId="73" xfId="0" applyFont="1" applyFill="1" applyBorder="1"/>
    <xf numFmtId="0" fontId="2" fillId="17" borderId="78" xfId="0" applyFont="1" applyFill="1" applyBorder="1"/>
    <xf numFmtId="0" fontId="2" fillId="17" borderId="55" xfId="0" applyFont="1" applyFill="1" applyBorder="1"/>
    <xf numFmtId="0" fontId="2" fillId="17" borderId="21" xfId="0" applyFont="1" applyFill="1" applyBorder="1" applyProtection="1"/>
    <xf numFmtId="0" fontId="2" fillId="17" borderId="22" xfId="0" applyFont="1" applyFill="1" applyBorder="1" applyProtection="1"/>
    <xf numFmtId="0" fontId="2" fillId="17" borderId="22" xfId="0" applyFont="1" applyFill="1" applyBorder="1"/>
    <xf numFmtId="0" fontId="2" fillId="17" borderId="75" xfId="0" applyFont="1" applyFill="1" applyBorder="1"/>
    <xf numFmtId="0" fontId="2" fillId="17" borderId="80" xfId="0" applyFont="1" applyFill="1" applyBorder="1"/>
    <xf numFmtId="0" fontId="2" fillId="17" borderId="57" xfId="0" applyFont="1" applyFill="1" applyBorder="1"/>
    <xf numFmtId="0" fontId="2" fillId="17" borderId="7" xfId="0" applyFont="1" applyFill="1" applyBorder="1" applyProtection="1"/>
    <xf numFmtId="0" fontId="2" fillId="17" borderId="6" xfId="0" applyFont="1" applyFill="1" applyBorder="1" applyProtection="1"/>
    <xf numFmtId="0" fontId="2" fillId="17" borderId="6" xfId="0" applyFont="1" applyFill="1" applyBorder="1"/>
    <xf numFmtId="0" fontId="2" fillId="17" borderId="71" xfId="0" applyFont="1" applyFill="1" applyBorder="1"/>
    <xf numFmtId="0" fontId="2" fillId="17" borderId="76" xfId="0" applyFont="1" applyFill="1" applyBorder="1"/>
    <xf numFmtId="0" fontId="2" fillId="17" borderId="53" xfId="0" applyFont="1" applyFill="1" applyBorder="1"/>
    <xf numFmtId="0" fontId="2" fillId="18" borderId="18" xfId="0" applyFont="1" applyFill="1" applyBorder="1" applyProtection="1"/>
    <xf numFmtId="0" fontId="2" fillId="18" borderId="19" xfId="0" applyFont="1" applyFill="1" applyBorder="1" applyProtection="1"/>
    <xf numFmtId="0" fontId="2" fillId="18" borderId="19" xfId="0" applyFont="1" applyFill="1" applyBorder="1"/>
    <xf numFmtId="0" fontId="2" fillId="18" borderId="72" xfId="0" applyFont="1" applyFill="1" applyBorder="1"/>
    <xf numFmtId="0" fontId="2" fillId="18" borderId="77" xfId="0" applyFont="1" applyFill="1" applyBorder="1"/>
    <xf numFmtId="0" fontId="2" fillId="18" borderId="54" xfId="0" applyFont="1" applyFill="1" applyBorder="1"/>
    <xf numFmtId="0" fontId="2" fillId="18" borderId="28" xfId="0" applyFont="1" applyFill="1" applyBorder="1"/>
    <xf numFmtId="0" fontId="2" fillId="18" borderId="79" xfId="0" applyFont="1" applyFill="1" applyBorder="1"/>
    <xf numFmtId="0" fontId="2" fillId="18" borderId="56" xfId="0" applyFont="1" applyFill="1" applyBorder="1"/>
    <xf numFmtId="0" fontId="2" fillId="18" borderId="28" xfId="0" applyFont="1" applyFill="1" applyBorder="1" applyProtection="1"/>
    <xf numFmtId="0" fontId="2" fillId="18" borderId="27" xfId="0" applyFont="1" applyFill="1" applyBorder="1" applyProtection="1"/>
    <xf numFmtId="0" fontId="2" fillId="18" borderId="74" xfId="0" applyFont="1" applyFill="1" applyBorder="1"/>
    <xf numFmtId="2" fontId="12" fillId="19" borderId="63" xfId="0" applyNumberFormat="1" applyFont="1" applyFill="1" applyBorder="1" applyAlignment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</cellXfs>
  <cellStyles count="2">
    <cellStyle name="Lien hypertexte" xfId="1" builtinId="8"/>
    <cellStyle name="Normal" xfId="0" builtinId="0" customBuiltin="1"/>
  </cellStyles>
  <dxfs count="3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Lit>
              <c:ptCount val="1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Réalisation - Calendrier</c:v>
              </c:pt>
              <c:pt idx="4">
                <c:v>Réalisation - Ajout des tâches</c:v>
              </c:pt>
              <c:pt idx="5">
                <c:v>Réalisation - Ajout des groupes</c:v>
              </c:pt>
              <c:pt idx="6">
                <c:v>Réalisation - Suppression des tâches</c:v>
              </c:pt>
              <c:pt idx="7">
                <c:v>Réalisation - Suppression des groupes</c:v>
              </c:pt>
              <c:pt idx="8">
                <c:v>Doc - Journal de travail</c:v>
              </c:pt>
              <c:pt idx="9">
                <c:v>Doc - Rapport</c:v>
              </c:pt>
              <c:pt idx="10">
                <c:v>Recherche - Spécifications techniques</c:v>
              </c:pt>
              <c:pt idx="11">
                <c:v>Réalisation - Setup d'installation</c:v>
              </c:pt>
              <c:pt idx="12">
                <c:v>Réalisation - Application </c:v>
              </c:pt>
              <c:pt idx="13">
                <c:v>Réalisation - Modification d'une tâche</c:v>
              </c:pt>
              <c:pt idx="14">
                <c:v>Réalisation - Exportation et importation d'un fichier de tâche</c:v>
              </c:pt>
            </c:strLit>
          </c:cat>
          <c:val>
            <c:numLit>
              <c:formatCode>General</c:formatCode>
              <c:ptCount val="16"/>
              <c:pt idx="0">
                <c:v>1.5</c:v>
              </c:pt>
              <c:pt idx="1">
                <c:v>0</c:v>
              </c:pt>
              <c:pt idx="2">
                <c:v>8.25</c:v>
              </c:pt>
              <c:pt idx="3">
                <c:v>3.25</c:v>
              </c:pt>
              <c:pt idx="4">
                <c:v>3</c:v>
              </c:pt>
              <c:pt idx="5">
                <c:v>3</c:v>
              </c:pt>
              <c:pt idx="6">
                <c:v>0</c:v>
              </c:pt>
              <c:pt idx="7">
                <c:v>3</c:v>
              </c:pt>
              <c:pt idx="8">
                <c:v>0</c:v>
              </c:pt>
              <c:pt idx="9">
                <c:v>0</c:v>
              </c:pt>
              <c:pt idx="10">
                <c:v>2</c:v>
              </c:pt>
              <c:pt idx="11">
                <c:v>6.75</c:v>
              </c:pt>
              <c:pt idx="12">
                <c:v>3</c:v>
              </c:pt>
              <c:pt idx="13">
                <c:v>3</c:v>
              </c:pt>
              <c:pt idx="14">
                <c:v>0</c:v>
              </c:pt>
              <c:pt idx="1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6"/>
              <c:pt idx="0">
                <c:v>1.5</c:v>
              </c:pt>
              <c:pt idx="1">
                <c:v>0</c:v>
              </c:pt>
              <c:pt idx="2">
                <c:v>8.25</c:v>
              </c:pt>
              <c:pt idx="3">
                <c:v>1.5</c:v>
              </c:pt>
              <c:pt idx="4">
                <c:v>1.5</c:v>
              </c:pt>
              <c:pt idx="5">
                <c:v>4</c:v>
              </c:pt>
              <c:pt idx="6">
                <c:v>3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4.5</c:v>
              </c:pt>
              <c:pt idx="11">
                <c:v>5.75</c:v>
              </c:pt>
              <c:pt idx="12">
                <c:v>1.5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47</xdr:col>
          <xdr:colOff>57150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246671" y="197069"/>
          <a:ext cx="1123209" cy="393541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2030067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99" t="s">
        <v>34</v>
      </c>
      <c r="C35" s="199"/>
      <c r="D35" s="199"/>
      <c r="E35" s="107" t="s">
        <v>102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200" t="s">
        <v>35</v>
      </c>
      <c r="C37" s="200"/>
      <c r="D37" s="200"/>
      <c r="E37" s="109" t="s">
        <v>103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30</v>
      </c>
      <c r="E39" s="198" t="s">
        <v>104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AFN99"/>
  <sheetViews>
    <sheetView showGridLines="0" zoomScale="55" zoomScaleNormal="55" zoomScaleSheetLayoutView="43" workbookViewId="0">
      <selection activeCell="F94" sqref="F94:AFM94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9.28515625" style="3" customWidth="1"/>
    <col min="6" max="845" width="1.140625" style="3" customWidth="1"/>
    <col min="846" max="846" width="2.7109375" style="3" customWidth="1"/>
    <col min="847" max="16384" width="11.42578125" style="3"/>
  </cols>
  <sheetData>
    <row r="1" spans="1:846" ht="35.1" customHeight="1" x14ac:dyDescent="0.25">
      <c r="B1" s="95"/>
      <c r="C1" s="231" t="s">
        <v>31</v>
      </c>
      <c r="D1" s="231"/>
      <c r="E1" s="231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93">
        <v>1</v>
      </c>
    </row>
    <row r="2" spans="1:84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88"/>
      <c r="RS2" s="88"/>
      <c r="RT2" s="88"/>
      <c r="RU2" s="88"/>
      <c r="RV2" s="88"/>
      <c r="RW2" s="88"/>
      <c r="RX2" s="88"/>
      <c r="RY2" s="88"/>
      <c r="RZ2" s="88"/>
      <c r="SA2" s="88"/>
      <c r="SB2" s="88"/>
      <c r="SC2" s="88"/>
      <c r="SD2" s="88"/>
      <c r="SE2" s="88"/>
      <c r="SF2" s="88"/>
      <c r="SG2" s="88"/>
      <c r="SH2" s="88"/>
      <c r="SI2" s="88"/>
      <c r="SJ2" s="88"/>
      <c r="SK2" s="88"/>
      <c r="SL2" s="88"/>
      <c r="SM2" s="88"/>
      <c r="SN2" s="88"/>
      <c r="SO2" s="88"/>
      <c r="SP2" s="88"/>
      <c r="SQ2" s="88"/>
      <c r="SR2" s="88"/>
      <c r="SS2" s="88"/>
      <c r="ST2" s="88"/>
      <c r="SU2" s="88"/>
      <c r="SV2" s="88"/>
      <c r="SW2" s="88"/>
      <c r="SX2" s="88"/>
      <c r="SY2" s="88"/>
      <c r="SZ2" s="88"/>
      <c r="TA2" s="88"/>
      <c r="TB2" s="88"/>
      <c r="TC2" s="88"/>
      <c r="TD2" s="88"/>
      <c r="TE2" s="88"/>
      <c r="TF2" s="88"/>
      <c r="TG2" s="88"/>
      <c r="TH2" s="88"/>
      <c r="TI2" s="88"/>
      <c r="TJ2" s="88"/>
      <c r="TK2" s="88"/>
      <c r="TL2" s="88"/>
      <c r="TM2" s="88"/>
      <c r="TN2" s="88"/>
      <c r="TO2" s="88"/>
      <c r="TP2" s="88"/>
      <c r="TQ2" s="88"/>
      <c r="TR2" s="88"/>
      <c r="TS2" s="88"/>
      <c r="TT2" s="88"/>
      <c r="TU2" s="88"/>
      <c r="TV2" s="88"/>
      <c r="TW2" s="88"/>
      <c r="TX2" s="88"/>
      <c r="TY2" s="88"/>
      <c r="TZ2" s="88"/>
      <c r="UA2" s="88"/>
      <c r="UB2" s="88"/>
      <c r="UC2" s="88"/>
      <c r="UD2" s="88"/>
      <c r="UE2" s="88"/>
      <c r="UF2" s="88"/>
      <c r="UG2" s="88"/>
      <c r="UH2" s="88"/>
      <c r="UI2" s="88"/>
      <c r="UJ2" s="88"/>
      <c r="UK2" s="88"/>
      <c r="UL2" s="88"/>
      <c r="UM2" s="88"/>
      <c r="UN2" s="88"/>
      <c r="UO2" s="88"/>
      <c r="UP2" s="88"/>
      <c r="UQ2" s="88"/>
      <c r="UR2" s="88"/>
      <c r="US2" s="88"/>
      <c r="UT2" s="88"/>
      <c r="UU2" s="88"/>
      <c r="UV2" s="88"/>
      <c r="UW2" s="88"/>
      <c r="UX2" s="88"/>
      <c r="UY2" s="88"/>
      <c r="UZ2" s="88"/>
      <c r="VA2" s="88"/>
      <c r="VB2" s="88"/>
      <c r="VC2" s="88"/>
      <c r="VD2" s="88"/>
      <c r="VE2" s="88"/>
      <c r="VF2" s="88"/>
      <c r="VG2" s="88"/>
      <c r="VH2" s="88"/>
      <c r="VI2" s="88"/>
      <c r="VJ2" s="88"/>
      <c r="VK2" s="88"/>
      <c r="VL2" s="88"/>
      <c r="VM2" s="88"/>
      <c r="VN2" s="88"/>
      <c r="VO2" s="88"/>
      <c r="VP2" s="88"/>
      <c r="VQ2" s="88"/>
      <c r="VR2" s="88"/>
      <c r="VS2" s="88"/>
      <c r="VT2" s="88"/>
      <c r="VU2" s="88"/>
      <c r="VV2" s="88"/>
      <c r="VW2" s="88"/>
      <c r="VX2" s="88"/>
      <c r="VY2" s="88"/>
      <c r="VZ2" s="88"/>
      <c r="WA2" s="88"/>
      <c r="WB2" s="88"/>
      <c r="WC2" s="88"/>
      <c r="WD2" s="88"/>
      <c r="WE2" s="88"/>
      <c r="WF2" s="88"/>
      <c r="WG2" s="88"/>
      <c r="WH2" s="88"/>
      <c r="WI2" s="88"/>
      <c r="WJ2" s="88"/>
      <c r="WK2" s="88"/>
      <c r="WL2" s="88"/>
      <c r="WM2" s="88"/>
      <c r="WN2" s="88"/>
      <c r="WO2" s="88"/>
      <c r="WP2" s="88"/>
      <c r="WQ2" s="88"/>
      <c r="WR2" s="88"/>
      <c r="WS2" s="88"/>
      <c r="WT2" s="88"/>
      <c r="WU2" s="88"/>
      <c r="WV2" s="88"/>
      <c r="WW2" s="88"/>
      <c r="WX2" s="88"/>
      <c r="WY2" s="88"/>
      <c r="WZ2" s="88"/>
      <c r="XA2" s="88"/>
      <c r="XB2" s="88"/>
      <c r="XC2" s="88"/>
      <c r="XD2" s="88"/>
      <c r="XE2" s="88"/>
      <c r="XF2" s="88"/>
      <c r="XG2" s="88"/>
      <c r="XH2" s="88"/>
      <c r="XI2" s="88"/>
      <c r="XJ2" s="88"/>
      <c r="XK2" s="88"/>
      <c r="XL2" s="88"/>
      <c r="XM2" s="88"/>
      <c r="XN2" s="88"/>
      <c r="XO2" s="88"/>
      <c r="XP2" s="88"/>
      <c r="XQ2" s="88"/>
      <c r="XR2" s="88"/>
      <c r="XS2" s="88"/>
      <c r="XT2" s="88"/>
      <c r="XU2" s="88"/>
      <c r="XV2" s="88"/>
      <c r="XW2" s="88"/>
      <c r="XX2" s="88"/>
      <c r="XY2" s="88"/>
      <c r="XZ2" s="88"/>
      <c r="YA2" s="88"/>
      <c r="YB2" s="88"/>
      <c r="YC2" s="88"/>
      <c r="YD2" s="88"/>
      <c r="YE2" s="88"/>
      <c r="YF2" s="88"/>
      <c r="YG2" s="88"/>
      <c r="YH2" s="88"/>
      <c r="YI2" s="88"/>
      <c r="YJ2" s="88"/>
      <c r="YK2" s="88"/>
      <c r="YL2" s="88"/>
      <c r="YM2" s="88"/>
      <c r="YN2" s="88"/>
      <c r="YO2" s="88"/>
      <c r="YP2" s="88"/>
      <c r="YQ2" s="88"/>
      <c r="YR2" s="88"/>
      <c r="YS2" s="88"/>
      <c r="YT2" s="88"/>
      <c r="YU2" s="88"/>
      <c r="YV2" s="88"/>
      <c r="YW2" s="88"/>
      <c r="YX2" s="88"/>
      <c r="YY2" s="88"/>
      <c r="YZ2" s="88"/>
      <c r="ZA2" s="88"/>
      <c r="ZB2" s="88"/>
      <c r="ZC2" s="88"/>
      <c r="ZD2" s="88"/>
      <c r="ZE2" s="88"/>
      <c r="ZF2" s="88"/>
      <c r="ZG2" s="88"/>
      <c r="ZH2" s="88"/>
      <c r="ZI2" s="88"/>
      <c r="ZJ2" s="88"/>
      <c r="ZK2" s="88"/>
      <c r="ZL2" s="88"/>
      <c r="ZM2" s="88"/>
      <c r="ZN2" s="88"/>
      <c r="ZO2" s="88"/>
      <c r="ZP2" s="88"/>
      <c r="ZQ2" s="88"/>
      <c r="ZR2" s="88"/>
      <c r="ZS2" s="88"/>
      <c r="ZT2" s="88"/>
      <c r="ZU2" s="88"/>
      <c r="ZV2" s="88"/>
      <c r="ZW2" s="88"/>
      <c r="ZX2" s="88"/>
      <c r="ZY2" s="88"/>
      <c r="ZZ2" s="88"/>
      <c r="AAA2" s="88"/>
      <c r="AAB2" s="88"/>
      <c r="AAC2" s="88"/>
      <c r="AAD2" s="88"/>
      <c r="AAE2" s="88"/>
      <c r="AAF2" s="88"/>
      <c r="AAG2" s="88"/>
      <c r="AAH2" s="88"/>
      <c r="AAI2" s="88"/>
      <c r="AAJ2" s="88"/>
      <c r="AAK2" s="88"/>
      <c r="AAL2" s="88"/>
      <c r="AAM2" s="88"/>
      <c r="AAN2" s="88"/>
      <c r="AAO2" s="88"/>
      <c r="AAP2" s="88"/>
      <c r="AAQ2" s="88"/>
      <c r="AAR2" s="88"/>
      <c r="AAS2" s="88"/>
      <c r="AAT2" s="88"/>
      <c r="AAU2" s="88"/>
      <c r="AAV2" s="88"/>
      <c r="AAW2" s="88"/>
      <c r="AAX2" s="88"/>
      <c r="AAY2" s="88"/>
      <c r="AAZ2" s="88"/>
      <c r="ABA2" s="88"/>
      <c r="ABB2" s="88"/>
      <c r="ABC2" s="88"/>
      <c r="ABD2" s="88"/>
      <c r="ABE2" s="88"/>
      <c r="ABF2" s="88"/>
      <c r="ABG2" s="88"/>
      <c r="ABH2" s="88"/>
      <c r="ABI2" s="88"/>
      <c r="ABJ2" s="88"/>
      <c r="ABK2" s="88"/>
      <c r="ABL2" s="88"/>
      <c r="ABM2" s="88"/>
      <c r="ABN2" s="88"/>
      <c r="ABO2" s="88"/>
      <c r="ABP2" s="88"/>
      <c r="ABQ2" s="88"/>
      <c r="ABR2" s="88"/>
      <c r="ABS2" s="88"/>
      <c r="ABT2" s="88"/>
      <c r="ABU2" s="88"/>
      <c r="ABV2" s="88"/>
      <c r="ABW2" s="88"/>
      <c r="ABX2" s="88"/>
      <c r="ABY2" s="88"/>
      <c r="ABZ2" s="88"/>
      <c r="ACA2" s="88"/>
      <c r="ACB2" s="88"/>
      <c r="ACC2" s="88"/>
      <c r="ACD2" s="88"/>
      <c r="ACE2" s="88"/>
      <c r="ACF2" s="88"/>
      <c r="ACG2" s="88"/>
      <c r="ACH2" s="88"/>
      <c r="ACI2" s="88"/>
      <c r="ACJ2" s="88"/>
      <c r="ACK2" s="88"/>
      <c r="ACL2" s="88"/>
      <c r="ACM2" s="88"/>
      <c r="ACN2" s="88"/>
      <c r="ACO2" s="88"/>
      <c r="ACP2" s="88"/>
      <c r="ACQ2" s="88"/>
      <c r="ACR2" s="88"/>
      <c r="ACS2" s="88"/>
      <c r="ACT2" s="88"/>
      <c r="ACU2" s="88"/>
      <c r="ACV2" s="88"/>
      <c r="ACW2" s="88"/>
      <c r="ACX2" s="88"/>
      <c r="ACY2" s="88"/>
      <c r="ACZ2" s="88"/>
      <c r="ADA2" s="88"/>
      <c r="ADB2" s="88"/>
      <c r="ADC2" s="88"/>
      <c r="ADD2" s="88"/>
      <c r="ADE2" s="88"/>
      <c r="ADF2" s="88"/>
      <c r="ADG2" s="88"/>
      <c r="ADH2" s="88"/>
      <c r="ADI2" s="88"/>
      <c r="ADJ2" s="88"/>
      <c r="ADK2" s="88"/>
      <c r="ADL2" s="88"/>
      <c r="ADM2" s="88"/>
      <c r="ADN2" s="88"/>
      <c r="ADO2" s="88"/>
      <c r="ADP2" s="88"/>
      <c r="ADQ2" s="88"/>
      <c r="ADR2" s="88"/>
      <c r="ADS2" s="88"/>
      <c r="ADT2" s="88"/>
      <c r="ADU2" s="88"/>
      <c r="ADV2" s="88"/>
      <c r="ADW2" s="88"/>
      <c r="ADX2" s="88"/>
      <c r="ADY2" s="88"/>
      <c r="ADZ2" s="88"/>
      <c r="AEA2" s="88"/>
      <c r="AEB2" s="88"/>
      <c r="AEC2" s="88"/>
      <c r="AED2" s="88"/>
      <c r="AEE2" s="88"/>
      <c r="AEF2" s="88"/>
      <c r="AEG2" s="88"/>
      <c r="AEH2" s="88"/>
      <c r="AEI2" s="88"/>
      <c r="AEJ2" s="88"/>
      <c r="AEK2" s="88"/>
      <c r="AEL2" s="88"/>
      <c r="AEM2" s="88"/>
      <c r="AEN2" s="88"/>
      <c r="AEO2" s="88"/>
      <c r="AEP2" s="88"/>
      <c r="AEQ2" s="88"/>
      <c r="AER2" s="88"/>
      <c r="AES2" s="88"/>
      <c r="AET2" s="88"/>
      <c r="AEU2" s="88"/>
      <c r="AEV2" s="88"/>
      <c r="AEW2" s="88"/>
      <c r="AEX2" s="88"/>
      <c r="AEY2" s="88"/>
      <c r="AEZ2" s="88"/>
      <c r="AFA2" s="88"/>
      <c r="AFB2" s="88"/>
      <c r="AFC2" s="88"/>
      <c r="AFD2" s="88"/>
      <c r="AFE2" s="88"/>
      <c r="AFF2" s="88"/>
      <c r="AFG2" s="88"/>
      <c r="AFH2" s="88"/>
      <c r="AFI2" s="88"/>
      <c r="AFJ2" s="88"/>
      <c r="AFK2" s="88"/>
      <c r="AFL2" s="88"/>
      <c r="AFM2" s="88"/>
      <c r="AFN2" s="90"/>
    </row>
    <row r="3" spans="1:846" ht="30" customHeight="1" x14ac:dyDescent="0.25">
      <c r="B3" s="96"/>
      <c r="C3" s="7" t="s">
        <v>0</v>
      </c>
      <c r="D3" s="140"/>
      <c r="E3" s="8" t="s">
        <v>43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88"/>
      <c r="RS3" s="88"/>
      <c r="RT3" s="88"/>
      <c r="RU3" s="88"/>
      <c r="RV3" s="88"/>
      <c r="RW3" s="88"/>
      <c r="RX3" s="88"/>
      <c r="RY3" s="88"/>
      <c r="RZ3" s="88"/>
      <c r="SA3" s="88"/>
      <c r="SB3" s="88"/>
      <c r="SC3" s="88"/>
      <c r="SD3" s="88"/>
      <c r="SE3" s="88"/>
      <c r="SF3" s="88"/>
      <c r="SG3" s="88"/>
      <c r="SH3" s="88"/>
      <c r="SI3" s="88"/>
      <c r="SJ3" s="88"/>
      <c r="SK3" s="88"/>
      <c r="SL3" s="88"/>
      <c r="SM3" s="88"/>
      <c r="SN3" s="88"/>
      <c r="SO3" s="88"/>
      <c r="SP3" s="88"/>
      <c r="SQ3" s="88"/>
      <c r="SR3" s="88"/>
      <c r="SS3" s="88"/>
      <c r="ST3" s="88"/>
      <c r="SU3" s="88"/>
      <c r="SV3" s="88"/>
      <c r="SW3" s="88"/>
      <c r="SX3" s="88"/>
      <c r="SY3" s="88"/>
      <c r="SZ3" s="88"/>
      <c r="TA3" s="88"/>
      <c r="TB3" s="88"/>
      <c r="TC3" s="88"/>
      <c r="TD3" s="88"/>
      <c r="TE3" s="88"/>
      <c r="TF3" s="88"/>
      <c r="TG3" s="88"/>
      <c r="TH3" s="88"/>
      <c r="TI3" s="88"/>
      <c r="TJ3" s="88"/>
      <c r="TK3" s="88"/>
      <c r="TL3" s="88"/>
      <c r="TM3" s="88"/>
      <c r="TN3" s="88"/>
      <c r="TO3" s="88"/>
      <c r="TP3" s="88"/>
      <c r="TQ3" s="88"/>
      <c r="TR3" s="88"/>
      <c r="TS3" s="88"/>
      <c r="TT3" s="88"/>
      <c r="TU3" s="88"/>
      <c r="TV3" s="88"/>
      <c r="TW3" s="88"/>
      <c r="TX3" s="88"/>
      <c r="TY3" s="88"/>
      <c r="TZ3" s="88"/>
      <c r="UA3" s="88"/>
      <c r="UB3" s="88"/>
      <c r="UC3" s="88"/>
      <c r="UD3" s="88"/>
      <c r="UE3" s="88"/>
      <c r="UF3" s="88"/>
      <c r="UG3" s="88"/>
      <c r="UH3" s="88"/>
      <c r="UI3" s="88"/>
      <c r="UJ3" s="88"/>
      <c r="UK3" s="88"/>
      <c r="UL3" s="88"/>
      <c r="UM3" s="88"/>
      <c r="UN3" s="88"/>
      <c r="UO3" s="88"/>
      <c r="UP3" s="88"/>
      <c r="UQ3" s="88"/>
      <c r="UR3" s="88"/>
      <c r="US3" s="88"/>
      <c r="UT3" s="88"/>
      <c r="UU3" s="88"/>
      <c r="UV3" s="88"/>
      <c r="UW3" s="88"/>
      <c r="UX3" s="88"/>
      <c r="UY3" s="88"/>
      <c r="UZ3" s="88"/>
      <c r="VA3" s="88"/>
      <c r="VB3" s="88"/>
      <c r="VC3" s="88"/>
      <c r="VD3" s="88"/>
      <c r="VE3" s="88"/>
      <c r="VF3" s="88"/>
      <c r="VG3" s="88"/>
      <c r="VH3" s="88"/>
      <c r="VI3" s="88"/>
      <c r="VJ3" s="88"/>
      <c r="VK3" s="88"/>
      <c r="VL3" s="88"/>
      <c r="VM3" s="88"/>
      <c r="VN3" s="88"/>
      <c r="VO3" s="88"/>
      <c r="VP3" s="88"/>
      <c r="VQ3" s="88"/>
      <c r="VR3" s="88"/>
      <c r="VS3" s="88"/>
      <c r="VT3" s="88"/>
      <c r="VU3" s="88"/>
      <c r="VV3" s="88"/>
      <c r="VW3" s="88"/>
      <c r="VX3" s="88"/>
      <c r="VY3" s="88"/>
      <c r="VZ3" s="88"/>
      <c r="WA3" s="88"/>
      <c r="WB3" s="88"/>
      <c r="WC3" s="88"/>
      <c r="WD3" s="88"/>
      <c r="WE3" s="88"/>
      <c r="WF3" s="88"/>
      <c r="WG3" s="88"/>
      <c r="WH3" s="88"/>
      <c r="WI3" s="88"/>
      <c r="WJ3" s="88"/>
      <c r="WK3" s="88"/>
      <c r="WL3" s="88"/>
      <c r="WM3" s="88"/>
      <c r="WN3" s="88"/>
      <c r="WO3" s="88"/>
      <c r="WP3" s="88"/>
      <c r="WQ3" s="88"/>
      <c r="WR3" s="88"/>
      <c r="WS3" s="88"/>
      <c r="WT3" s="88"/>
      <c r="WU3" s="88"/>
      <c r="WV3" s="88"/>
      <c r="WW3" s="88"/>
      <c r="WX3" s="88"/>
      <c r="WY3" s="88"/>
      <c r="WZ3" s="88"/>
      <c r="XA3" s="88"/>
      <c r="XB3" s="88"/>
      <c r="XC3" s="88"/>
      <c r="XD3" s="88"/>
      <c r="XE3" s="88"/>
      <c r="XF3" s="88"/>
      <c r="XG3" s="88"/>
      <c r="XH3" s="88"/>
      <c r="XI3" s="88"/>
      <c r="XJ3" s="88"/>
      <c r="XK3" s="88"/>
      <c r="XL3" s="88"/>
      <c r="XM3" s="88"/>
      <c r="XN3" s="88"/>
      <c r="XO3" s="88"/>
      <c r="XP3" s="88"/>
      <c r="XQ3" s="88"/>
      <c r="XR3" s="88"/>
      <c r="XS3" s="88"/>
      <c r="XT3" s="88"/>
      <c r="XU3" s="88"/>
      <c r="XV3" s="88"/>
      <c r="XW3" s="88"/>
      <c r="XX3" s="88"/>
      <c r="XY3" s="88"/>
      <c r="XZ3" s="88"/>
      <c r="YA3" s="88"/>
      <c r="YB3" s="88"/>
      <c r="YC3" s="88"/>
      <c r="YD3" s="88"/>
      <c r="YE3" s="88"/>
      <c r="YF3" s="88"/>
      <c r="YG3" s="88"/>
      <c r="YH3" s="88"/>
      <c r="YI3" s="88"/>
      <c r="YJ3" s="88"/>
      <c r="YK3" s="88"/>
      <c r="YL3" s="88"/>
      <c r="YM3" s="88"/>
      <c r="YN3" s="88"/>
      <c r="YO3" s="88"/>
      <c r="YP3" s="88"/>
      <c r="YQ3" s="88"/>
      <c r="YR3" s="88"/>
      <c r="YS3" s="88"/>
      <c r="YT3" s="88"/>
      <c r="YU3" s="88"/>
      <c r="YV3" s="88"/>
      <c r="YW3" s="88"/>
      <c r="YX3" s="88"/>
      <c r="YY3" s="88"/>
      <c r="YZ3" s="88"/>
      <c r="ZA3" s="88"/>
      <c r="ZB3" s="88"/>
      <c r="ZC3" s="88"/>
      <c r="ZD3" s="88"/>
      <c r="ZE3" s="88"/>
      <c r="ZF3" s="88"/>
      <c r="ZG3" s="88"/>
      <c r="ZH3" s="88"/>
      <c r="ZI3" s="88"/>
      <c r="ZJ3" s="88"/>
      <c r="ZK3" s="88"/>
      <c r="ZL3" s="88"/>
      <c r="ZM3" s="88"/>
      <c r="ZN3" s="88"/>
      <c r="ZO3" s="88"/>
      <c r="ZP3" s="88"/>
      <c r="ZQ3" s="88"/>
      <c r="ZR3" s="88"/>
      <c r="ZS3" s="88"/>
      <c r="ZT3" s="88"/>
      <c r="ZU3" s="88"/>
      <c r="ZV3" s="88"/>
      <c r="ZW3" s="88"/>
      <c r="ZX3" s="88"/>
      <c r="ZY3" s="88"/>
      <c r="ZZ3" s="88"/>
      <c r="AAA3" s="88"/>
      <c r="AAB3" s="88"/>
      <c r="AAC3" s="88"/>
      <c r="AAD3" s="88"/>
      <c r="AAE3" s="88"/>
      <c r="AAF3" s="88"/>
      <c r="AAG3" s="88"/>
      <c r="AAH3" s="88"/>
      <c r="AAI3" s="88"/>
      <c r="AAJ3" s="88"/>
      <c r="AAK3" s="88"/>
      <c r="AAL3" s="88"/>
      <c r="AAM3" s="88"/>
      <c r="AAN3" s="88"/>
      <c r="AAO3" s="88"/>
      <c r="AAP3" s="88"/>
      <c r="AAQ3" s="88"/>
      <c r="AAR3" s="88"/>
      <c r="AAS3" s="88"/>
      <c r="AAT3" s="88"/>
      <c r="AAU3" s="88"/>
      <c r="AAV3" s="88"/>
      <c r="AAW3" s="88"/>
      <c r="AAX3" s="88"/>
      <c r="AAY3" s="88"/>
      <c r="AAZ3" s="88"/>
      <c r="ABA3" s="88"/>
      <c r="ABB3" s="88"/>
      <c r="ABC3" s="88"/>
      <c r="ABD3" s="88"/>
      <c r="ABE3" s="88"/>
      <c r="ABF3" s="88"/>
      <c r="ABG3" s="88"/>
      <c r="ABH3" s="88"/>
      <c r="ABI3" s="88"/>
      <c r="ABJ3" s="88"/>
      <c r="ABK3" s="88"/>
      <c r="ABL3" s="88"/>
      <c r="ABM3" s="88"/>
      <c r="ABN3" s="88"/>
      <c r="ABO3" s="88"/>
      <c r="ABP3" s="88"/>
      <c r="ABQ3" s="88"/>
      <c r="ABR3" s="88"/>
      <c r="ABS3" s="88"/>
      <c r="ABT3" s="88"/>
      <c r="ABU3" s="88"/>
      <c r="ABV3" s="88"/>
      <c r="ABW3" s="88"/>
      <c r="ABX3" s="88"/>
      <c r="ABY3" s="88"/>
      <c r="ABZ3" s="88"/>
      <c r="ACA3" s="88"/>
      <c r="ACB3" s="88"/>
      <c r="ACC3" s="88"/>
      <c r="ACD3" s="88"/>
      <c r="ACE3" s="88"/>
      <c r="ACF3" s="88"/>
      <c r="ACG3" s="88"/>
      <c r="ACH3" s="88"/>
      <c r="ACI3" s="88"/>
      <c r="ACJ3" s="88"/>
      <c r="ACK3" s="88"/>
      <c r="ACL3" s="88"/>
      <c r="ACM3" s="88"/>
      <c r="ACN3" s="88"/>
      <c r="ACO3" s="88"/>
      <c r="ACP3" s="88"/>
      <c r="ACQ3" s="88"/>
      <c r="ACR3" s="88"/>
      <c r="ACS3" s="88"/>
      <c r="ACT3" s="88"/>
      <c r="ACU3" s="88"/>
      <c r="ACV3" s="88"/>
      <c r="ACW3" s="88"/>
      <c r="ACX3" s="88"/>
      <c r="ACY3" s="88"/>
      <c r="ACZ3" s="88"/>
      <c r="ADA3" s="88"/>
      <c r="ADB3" s="88"/>
      <c r="ADC3" s="88"/>
      <c r="ADD3" s="88"/>
      <c r="ADE3" s="88"/>
      <c r="ADF3" s="88"/>
      <c r="ADG3" s="88"/>
      <c r="ADH3" s="88"/>
      <c r="ADI3" s="88"/>
      <c r="ADJ3" s="88"/>
      <c r="ADK3" s="88"/>
      <c r="ADL3" s="88"/>
      <c r="ADM3" s="88"/>
      <c r="ADN3" s="88"/>
      <c r="ADO3" s="88"/>
      <c r="ADP3" s="88"/>
      <c r="ADQ3" s="88"/>
      <c r="ADR3" s="88"/>
      <c r="ADS3" s="88"/>
      <c r="ADT3" s="88"/>
      <c r="ADU3" s="88"/>
      <c r="ADV3" s="88"/>
      <c r="ADW3" s="88"/>
      <c r="ADX3" s="88"/>
      <c r="ADY3" s="88"/>
      <c r="ADZ3" s="88"/>
      <c r="AEA3" s="88"/>
      <c r="AEB3" s="88"/>
      <c r="AEC3" s="88"/>
      <c r="AED3" s="88"/>
      <c r="AEE3" s="88"/>
      <c r="AEF3" s="88"/>
      <c r="AEG3" s="88"/>
      <c r="AEH3" s="88"/>
      <c r="AEI3" s="88"/>
      <c r="AEJ3" s="88"/>
      <c r="AEK3" s="88"/>
      <c r="AEL3" s="88"/>
      <c r="AEM3" s="88"/>
      <c r="AEN3" s="88"/>
      <c r="AEO3" s="88"/>
      <c r="AEP3" s="88"/>
      <c r="AEQ3" s="88"/>
      <c r="AER3" s="88"/>
      <c r="AES3" s="88"/>
      <c r="AET3" s="88"/>
      <c r="AEU3" s="88"/>
      <c r="AEV3" s="88"/>
      <c r="AEW3" s="88"/>
      <c r="AEX3" s="88"/>
      <c r="AEY3" s="88"/>
      <c r="AEZ3" s="88"/>
      <c r="AFA3" s="88"/>
      <c r="AFB3" s="88"/>
      <c r="AFC3" s="88"/>
      <c r="AFD3" s="88"/>
      <c r="AFE3" s="88"/>
      <c r="AFF3" s="88"/>
      <c r="AFG3" s="88"/>
      <c r="AFH3" s="88"/>
      <c r="AFI3" s="88"/>
      <c r="AFJ3" s="88"/>
      <c r="AFK3" s="88"/>
      <c r="AFL3" s="88"/>
      <c r="AFM3" s="88"/>
      <c r="AFN3" s="90"/>
    </row>
    <row r="4" spans="1:846" ht="30" customHeight="1" x14ac:dyDescent="0.25">
      <c r="B4" s="96"/>
      <c r="C4" s="12" t="s">
        <v>6</v>
      </c>
      <c r="D4" s="141"/>
      <c r="E4" s="13" t="s">
        <v>44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88"/>
      <c r="RS4" s="88"/>
      <c r="RT4" s="88"/>
      <c r="RU4" s="88"/>
      <c r="RV4" s="88"/>
      <c r="RW4" s="88"/>
      <c r="RX4" s="88"/>
      <c r="RY4" s="88"/>
      <c r="RZ4" s="88"/>
      <c r="SA4" s="88"/>
      <c r="SB4" s="88"/>
      <c r="SC4" s="88"/>
      <c r="SD4" s="88"/>
      <c r="SE4" s="88"/>
      <c r="SF4" s="88"/>
      <c r="SG4" s="88"/>
      <c r="SH4" s="88"/>
      <c r="SI4" s="88"/>
      <c r="SJ4" s="88"/>
      <c r="SK4" s="88"/>
      <c r="SL4" s="88"/>
      <c r="SM4" s="88"/>
      <c r="SN4" s="88"/>
      <c r="SO4" s="88"/>
      <c r="SP4" s="88"/>
      <c r="SQ4" s="88"/>
      <c r="SR4" s="88"/>
      <c r="SS4" s="88"/>
      <c r="ST4" s="88"/>
      <c r="SU4" s="88"/>
      <c r="SV4" s="88"/>
      <c r="SW4" s="88"/>
      <c r="SX4" s="88"/>
      <c r="SY4" s="88"/>
      <c r="SZ4" s="88"/>
      <c r="TA4" s="88"/>
      <c r="TB4" s="88"/>
      <c r="TC4" s="88"/>
      <c r="TD4" s="88"/>
      <c r="TE4" s="88"/>
      <c r="TF4" s="88"/>
      <c r="TG4" s="88"/>
      <c r="TH4" s="88"/>
      <c r="TI4" s="88"/>
      <c r="TJ4" s="88"/>
      <c r="TK4" s="88"/>
      <c r="TL4" s="88"/>
      <c r="TM4" s="88"/>
      <c r="TN4" s="88"/>
      <c r="TO4" s="88"/>
      <c r="TP4" s="88"/>
      <c r="TQ4" s="88"/>
      <c r="TR4" s="88"/>
      <c r="TS4" s="88"/>
      <c r="TT4" s="88"/>
      <c r="TU4" s="88"/>
      <c r="TV4" s="88"/>
      <c r="TW4" s="88"/>
      <c r="TX4" s="88"/>
      <c r="TY4" s="88"/>
      <c r="TZ4" s="88"/>
      <c r="UA4" s="88"/>
      <c r="UB4" s="88"/>
      <c r="UC4" s="88"/>
      <c r="UD4" s="88"/>
      <c r="UE4" s="88"/>
      <c r="UF4" s="88"/>
      <c r="UG4" s="88"/>
      <c r="UH4" s="88"/>
      <c r="UI4" s="88"/>
      <c r="UJ4" s="88"/>
      <c r="UK4" s="88"/>
      <c r="UL4" s="88"/>
      <c r="UM4" s="88"/>
      <c r="UN4" s="88"/>
      <c r="UO4" s="88"/>
      <c r="UP4" s="88"/>
      <c r="UQ4" s="88"/>
      <c r="UR4" s="88"/>
      <c r="US4" s="88"/>
      <c r="UT4" s="88"/>
      <c r="UU4" s="88"/>
      <c r="UV4" s="88"/>
      <c r="UW4" s="88"/>
      <c r="UX4" s="88"/>
      <c r="UY4" s="88"/>
      <c r="UZ4" s="88"/>
      <c r="VA4" s="88"/>
      <c r="VB4" s="88"/>
      <c r="VC4" s="88"/>
      <c r="VD4" s="88"/>
      <c r="VE4" s="88"/>
      <c r="VF4" s="88"/>
      <c r="VG4" s="88"/>
      <c r="VH4" s="88"/>
      <c r="VI4" s="88"/>
      <c r="VJ4" s="88"/>
      <c r="VK4" s="88"/>
      <c r="VL4" s="88"/>
      <c r="VM4" s="88"/>
      <c r="VN4" s="88"/>
      <c r="VO4" s="88"/>
      <c r="VP4" s="88"/>
      <c r="VQ4" s="88"/>
      <c r="VR4" s="88"/>
      <c r="VS4" s="88"/>
      <c r="VT4" s="88"/>
      <c r="VU4" s="88"/>
      <c r="VV4" s="88"/>
      <c r="VW4" s="88"/>
      <c r="VX4" s="88"/>
      <c r="VY4" s="88"/>
      <c r="VZ4" s="88"/>
      <c r="WA4" s="88"/>
      <c r="WB4" s="88"/>
      <c r="WC4" s="88"/>
      <c r="WD4" s="88"/>
      <c r="WE4" s="88"/>
      <c r="WF4" s="88"/>
      <c r="WG4" s="88"/>
      <c r="WH4" s="88"/>
      <c r="WI4" s="88"/>
      <c r="WJ4" s="88"/>
      <c r="WK4" s="88"/>
      <c r="WL4" s="88"/>
      <c r="WM4" s="88"/>
      <c r="WN4" s="88"/>
      <c r="WO4" s="88"/>
      <c r="WP4" s="88"/>
      <c r="WQ4" s="88"/>
      <c r="WR4" s="88"/>
      <c r="WS4" s="88"/>
      <c r="WT4" s="88"/>
      <c r="WU4" s="88"/>
      <c r="WV4" s="88"/>
      <c r="WW4" s="88"/>
      <c r="WX4" s="88"/>
      <c r="WY4" s="88"/>
      <c r="WZ4" s="88"/>
      <c r="XA4" s="88"/>
      <c r="XB4" s="88"/>
      <c r="XC4" s="88"/>
      <c r="XD4" s="88"/>
      <c r="XE4" s="88"/>
      <c r="XF4" s="88"/>
      <c r="XG4" s="88"/>
      <c r="XH4" s="88"/>
      <c r="XI4" s="88"/>
      <c r="XJ4" s="88"/>
      <c r="XK4" s="88"/>
      <c r="XL4" s="88"/>
      <c r="XM4" s="88"/>
      <c r="XN4" s="88"/>
      <c r="XO4" s="88"/>
      <c r="XP4" s="88"/>
      <c r="XQ4" s="88"/>
      <c r="XR4" s="88"/>
      <c r="XS4" s="88"/>
      <c r="XT4" s="88"/>
      <c r="XU4" s="88"/>
      <c r="XV4" s="88"/>
      <c r="XW4" s="88"/>
      <c r="XX4" s="88"/>
      <c r="XY4" s="88"/>
      <c r="XZ4" s="88"/>
      <c r="YA4" s="88"/>
      <c r="YB4" s="88"/>
      <c r="YC4" s="88"/>
      <c r="YD4" s="88"/>
      <c r="YE4" s="88"/>
      <c r="YF4" s="88"/>
      <c r="YG4" s="88"/>
      <c r="YH4" s="88"/>
      <c r="YI4" s="88"/>
      <c r="YJ4" s="88"/>
      <c r="YK4" s="88"/>
      <c r="YL4" s="88"/>
      <c r="YM4" s="88"/>
      <c r="YN4" s="88"/>
      <c r="YO4" s="88"/>
      <c r="YP4" s="88"/>
      <c r="YQ4" s="88"/>
      <c r="YR4" s="88"/>
      <c r="YS4" s="88"/>
      <c r="YT4" s="88"/>
      <c r="YU4" s="88"/>
      <c r="YV4" s="88"/>
      <c r="YW4" s="88"/>
      <c r="YX4" s="88"/>
      <c r="YY4" s="88"/>
      <c r="YZ4" s="88"/>
      <c r="ZA4" s="88"/>
      <c r="ZB4" s="88"/>
      <c r="ZC4" s="88"/>
      <c r="ZD4" s="88"/>
      <c r="ZE4" s="88"/>
      <c r="ZF4" s="88"/>
      <c r="ZG4" s="88"/>
      <c r="ZH4" s="88"/>
      <c r="ZI4" s="88"/>
      <c r="ZJ4" s="88"/>
      <c r="ZK4" s="88"/>
      <c r="ZL4" s="88"/>
      <c r="ZM4" s="88"/>
      <c r="ZN4" s="88"/>
      <c r="ZO4" s="88"/>
      <c r="ZP4" s="88"/>
      <c r="ZQ4" s="88"/>
      <c r="ZR4" s="88"/>
      <c r="ZS4" s="88"/>
      <c r="ZT4" s="88"/>
      <c r="ZU4" s="88"/>
      <c r="ZV4" s="88"/>
      <c r="ZW4" s="88"/>
      <c r="ZX4" s="88"/>
      <c r="ZY4" s="88"/>
      <c r="ZZ4" s="88"/>
      <c r="AAA4" s="88"/>
      <c r="AAB4" s="88"/>
      <c r="AAC4" s="88"/>
      <c r="AAD4" s="88"/>
      <c r="AAE4" s="88"/>
      <c r="AAF4" s="88"/>
      <c r="AAG4" s="88"/>
      <c r="AAH4" s="88"/>
      <c r="AAI4" s="88"/>
      <c r="AAJ4" s="88"/>
      <c r="AAK4" s="88"/>
      <c r="AAL4" s="88"/>
      <c r="AAM4" s="88"/>
      <c r="AAN4" s="88"/>
      <c r="AAO4" s="88"/>
      <c r="AAP4" s="88"/>
      <c r="AAQ4" s="88"/>
      <c r="AAR4" s="88"/>
      <c r="AAS4" s="88"/>
      <c r="AAT4" s="88"/>
      <c r="AAU4" s="88"/>
      <c r="AAV4" s="88"/>
      <c r="AAW4" s="88"/>
      <c r="AAX4" s="88"/>
      <c r="AAY4" s="88"/>
      <c r="AAZ4" s="88"/>
      <c r="ABA4" s="88"/>
      <c r="ABB4" s="88"/>
      <c r="ABC4" s="88"/>
      <c r="ABD4" s="88"/>
      <c r="ABE4" s="88"/>
      <c r="ABF4" s="88"/>
      <c r="ABG4" s="88"/>
      <c r="ABH4" s="88"/>
      <c r="ABI4" s="88"/>
      <c r="ABJ4" s="88"/>
      <c r="ABK4" s="88"/>
      <c r="ABL4" s="88"/>
      <c r="ABM4" s="88"/>
      <c r="ABN4" s="88"/>
      <c r="ABO4" s="88"/>
      <c r="ABP4" s="88"/>
      <c r="ABQ4" s="88"/>
      <c r="ABR4" s="88"/>
      <c r="ABS4" s="88"/>
      <c r="ABT4" s="88"/>
      <c r="ABU4" s="88"/>
      <c r="ABV4" s="88"/>
      <c r="ABW4" s="88"/>
      <c r="ABX4" s="88"/>
      <c r="ABY4" s="88"/>
      <c r="ABZ4" s="88"/>
      <c r="ACA4" s="88"/>
      <c r="ACB4" s="88"/>
      <c r="ACC4" s="88"/>
      <c r="ACD4" s="88"/>
      <c r="ACE4" s="88"/>
      <c r="ACF4" s="88"/>
      <c r="ACG4" s="88"/>
      <c r="ACH4" s="88"/>
      <c r="ACI4" s="88"/>
      <c r="ACJ4" s="88"/>
      <c r="ACK4" s="88"/>
      <c r="ACL4" s="88"/>
      <c r="ACM4" s="88"/>
      <c r="ACN4" s="88"/>
      <c r="ACO4" s="88"/>
      <c r="ACP4" s="88"/>
      <c r="ACQ4" s="88"/>
      <c r="ACR4" s="88"/>
      <c r="ACS4" s="88"/>
      <c r="ACT4" s="88"/>
      <c r="ACU4" s="88"/>
      <c r="ACV4" s="88"/>
      <c r="ACW4" s="88"/>
      <c r="ACX4" s="88"/>
      <c r="ACY4" s="88"/>
      <c r="ACZ4" s="88"/>
      <c r="ADA4" s="88"/>
      <c r="ADB4" s="88"/>
      <c r="ADC4" s="88"/>
      <c r="ADD4" s="88"/>
      <c r="ADE4" s="88"/>
      <c r="ADF4" s="88"/>
      <c r="ADG4" s="88"/>
      <c r="ADH4" s="88"/>
      <c r="ADI4" s="88"/>
      <c r="ADJ4" s="88"/>
      <c r="ADK4" s="88"/>
      <c r="ADL4" s="88"/>
      <c r="ADM4" s="88"/>
      <c r="ADN4" s="88"/>
      <c r="ADO4" s="88"/>
      <c r="ADP4" s="88"/>
      <c r="ADQ4" s="88"/>
      <c r="ADR4" s="88"/>
      <c r="ADS4" s="88"/>
      <c r="ADT4" s="88"/>
      <c r="ADU4" s="88"/>
      <c r="ADV4" s="88"/>
      <c r="ADW4" s="88"/>
      <c r="ADX4" s="88"/>
      <c r="ADY4" s="88"/>
      <c r="ADZ4" s="88"/>
      <c r="AEA4" s="88"/>
      <c r="AEB4" s="88"/>
      <c r="AEC4" s="88"/>
      <c r="AED4" s="88"/>
      <c r="AEE4" s="88"/>
      <c r="AEF4" s="88"/>
      <c r="AEG4" s="88"/>
      <c r="AEH4" s="88"/>
      <c r="AEI4" s="88"/>
      <c r="AEJ4" s="88"/>
      <c r="AEK4" s="88"/>
      <c r="AEL4" s="88"/>
      <c r="AEM4" s="88"/>
      <c r="AEN4" s="88"/>
      <c r="AEO4" s="88"/>
      <c r="AEP4" s="88"/>
      <c r="AEQ4" s="88"/>
      <c r="AER4" s="88"/>
      <c r="AES4" s="88"/>
      <c r="AET4" s="88"/>
      <c r="AEU4" s="88"/>
      <c r="AEV4" s="88"/>
      <c r="AEW4" s="88"/>
      <c r="AEX4" s="88"/>
      <c r="AEY4" s="88"/>
      <c r="AEZ4" s="88"/>
      <c r="AFA4" s="88"/>
      <c r="AFB4" s="88"/>
      <c r="AFC4" s="88"/>
      <c r="AFD4" s="88"/>
      <c r="AFE4" s="88"/>
      <c r="AFF4" s="88"/>
      <c r="AFG4" s="88"/>
      <c r="AFH4" s="88"/>
      <c r="AFI4" s="88"/>
      <c r="AFJ4" s="88"/>
      <c r="AFK4" s="88"/>
      <c r="AFL4" s="88"/>
      <c r="AFM4" s="88"/>
      <c r="AFN4" s="90"/>
    </row>
    <row r="5" spans="1:846" ht="30" customHeight="1" x14ac:dyDescent="0.25">
      <c r="B5" s="96"/>
      <c r="C5" s="12" t="s">
        <v>1</v>
      </c>
      <c r="D5" s="141"/>
      <c r="E5" s="13" t="s">
        <v>45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88"/>
      <c r="RS5" s="88"/>
      <c r="RT5" s="88"/>
      <c r="RU5" s="88"/>
      <c r="RV5" s="88"/>
      <c r="RW5" s="88"/>
      <c r="RX5" s="88"/>
      <c r="RY5" s="88"/>
      <c r="RZ5" s="88"/>
      <c r="SA5" s="88"/>
      <c r="SB5" s="88"/>
      <c r="SC5" s="88"/>
      <c r="SD5" s="88"/>
      <c r="SE5" s="88"/>
      <c r="SF5" s="88"/>
      <c r="SG5" s="88"/>
      <c r="SH5" s="88"/>
      <c r="SI5" s="88"/>
      <c r="SJ5" s="88"/>
      <c r="SK5" s="88"/>
      <c r="SL5" s="88"/>
      <c r="SM5" s="88"/>
      <c r="SN5" s="88"/>
      <c r="SO5" s="88"/>
      <c r="SP5" s="88"/>
      <c r="SQ5" s="88"/>
      <c r="SR5" s="88"/>
      <c r="SS5" s="88"/>
      <c r="ST5" s="88"/>
      <c r="SU5" s="88"/>
      <c r="SV5" s="88"/>
      <c r="SW5" s="88"/>
      <c r="SX5" s="88"/>
      <c r="SY5" s="88"/>
      <c r="SZ5" s="88"/>
      <c r="TA5" s="88"/>
      <c r="TB5" s="88"/>
      <c r="TC5" s="88"/>
      <c r="TD5" s="88"/>
      <c r="TE5" s="88"/>
      <c r="TF5" s="88"/>
      <c r="TG5" s="88"/>
      <c r="TH5" s="88"/>
      <c r="TI5" s="88"/>
      <c r="TJ5" s="88"/>
      <c r="TK5" s="88"/>
      <c r="TL5" s="88"/>
      <c r="TM5" s="88"/>
      <c r="TN5" s="88"/>
      <c r="TO5" s="88"/>
      <c r="TP5" s="88"/>
      <c r="TQ5" s="88"/>
      <c r="TR5" s="88"/>
      <c r="TS5" s="88"/>
      <c r="TT5" s="88"/>
      <c r="TU5" s="88"/>
      <c r="TV5" s="88"/>
      <c r="TW5" s="88"/>
      <c r="TX5" s="88"/>
      <c r="TY5" s="88"/>
      <c r="TZ5" s="88"/>
      <c r="UA5" s="88"/>
      <c r="UB5" s="88"/>
      <c r="UC5" s="88"/>
      <c r="UD5" s="88"/>
      <c r="UE5" s="88"/>
      <c r="UF5" s="88"/>
      <c r="UG5" s="88"/>
      <c r="UH5" s="88"/>
      <c r="UI5" s="88"/>
      <c r="UJ5" s="88"/>
      <c r="UK5" s="88"/>
      <c r="UL5" s="88"/>
      <c r="UM5" s="88"/>
      <c r="UN5" s="88"/>
      <c r="UO5" s="88"/>
      <c r="UP5" s="88"/>
      <c r="UQ5" s="88"/>
      <c r="UR5" s="88"/>
      <c r="US5" s="88"/>
      <c r="UT5" s="88"/>
      <c r="UU5" s="88"/>
      <c r="UV5" s="88"/>
      <c r="UW5" s="88"/>
      <c r="UX5" s="88"/>
      <c r="UY5" s="88"/>
      <c r="UZ5" s="88"/>
      <c r="VA5" s="88"/>
      <c r="VB5" s="88"/>
      <c r="VC5" s="88"/>
      <c r="VD5" s="88"/>
      <c r="VE5" s="88"/>
      <c r="VF5" s="88"/>
      <c r="VG5" s="88"/>
      <c r="VH5" s="88"/>
      <c r="VI5" s="88"/>
      <c r="VJ5" s="88"/>
      <c r="VK5" s="88"/>
      <c r="VL5" s="88"/>
      <c r="VM5" s="88"/>
      <c r="VN5" s="88"/>
      <c r="VO5" s="88"/>
      <c r="VP5" s="88"/>
      <c r="VQ5" s="88"/>
      <c r="VR5" s="88"/>
      <c r="VS5" s="88"/>
      <c r="VT5" s="88"/>
      <c r="VU5" s="88"/>
      <c r="VV5" s="88"/>
      <c r="VW5" s="88"/>
      <c r="VX5" s="88"/>
      <c r="VY5" s="88"/>
      <c r="VZ5" s="88"/>
      <c r="WA5" s="88"/>
      <c r="WB5" s="88"/>
      <c r="WC5" s="88"/>
      <c r="WD5" s="88"/>
      <c r="WE5" s="88"/>
      <c r="WF5" s="88"/>
      <c r="WG5" s="88"/>
      <c r="WH5" s="88"/>
      <c r="WI5" s="88"/>
      <c r="WJ5" s="88"/>
      <c r="WK5" s="88"/>
      <c r="WL5" s="88"/>
      <c r="WM5" s="88"/>
      <c r="WN5" s="88"/>
      <c r="WO5" s="88"/>
      <c r="WP5" s="88"/>
      <c r="WQ5" s="88"/>
      <c r="WR5" s="88"/>
      <c r="WS5" s="88"/>
      <c r="WT5" s="88"/>
      <c r="WU5" s="88"/>
      <c r="WV5" s="88"/>
      <c r="WW5" s="88"/>
      <c r="WX5" s="88"/>
      <c r="WY5" s="88"/>
      <c r="WZ5" s="88"/>
      <c r="XA5" s="88"/>
      <c r="XB5" s="88"/>
      <c r="XC5" s="88"/>
      <c r="XD5" s="88"/>
      <c r="XE5" s="88"/>
      <c r="XF5" s="88"/>
      <c r="XG5" s="88"/>
      <c r="XH5" s="88"/>
      <c r="XI5" s="88"/>
      <c r="XJ5" s="88"/>
      <c r="XK5" s="88"/>
      <c r="XL5" s="88"/>
      <c r="XM5" s="88"/>
      <c r="XN5" s="88"/>
      <c r="XO5" s="88"/>
      <c r="XP5" s="88"/>
      <c r="XQ5" s="88"/>
      <c r="XR5" s="88"/>
      <c r="XS5" s="88"/>
      <c r="XT5" s="88"/>
      <c r="XU5" s="88"/>
      <c r="XV5" s="88"/>
      <c r="XW5" s="88"/>
      <c r="XX5" s="88"/>
      <c r="XY5" s="88"/>
      <c r="XZ5" s="88"/>
      <c r="YA5" s="88"/>
      <c r="YB5" s="88"/>
      <c r="YC5" s="88"/>
      <c r="YD5" s="88"/>
      <c r="YE5" s="88"/>
      <c r="YF5" s="88"/>
      <c r="YG5" s="88"/>
      <c r="YH5" s="88"/>
      <c r="YI5" s="88"/>
      <c r="YJ5" s="88"/>
      <c r="YK5" s="88"/>
      <c r="YL5" s="88"/>
      <c r="YM5" s="88"/>
      <c r="YN5" s="88"/>
      <c r="YO5" s="88"/>
      <c r="YP5" s="88"/>
      <c r="YQ5" s="88"/>
      <c r="YR5" s="88"/>
      <c r="YS5" s="88"/>
      <c r="YT5" s="88"/>
      <c r="YU5" s="88"/>
      <c r="YV5" s="88"/>
      <c r="YW5" s="88"/>
      <c r="YX5" s="88"/>
      <c r="YY5" s="88"/>
      <c r="YZ5" s="88"/>
      <c r="ZA5" s="88"/>
      <c r="ZB5" s="88"/>
      <c r="ZC5" s="88"/>
      <c r="ZD5" s="88"/>
      <c r="ZE5" s="88"/>
      <c r="ZF5" s="88"/>
      <c r="ZG5" s="88"/>
      <c r="ZH5" s="88"/>
      <c r="ZI5" s="88"/>
      <c r="ZJ5" s="88"/>
      <c r="ZK5" s="88"/>
      <c r="ZL5" s="88"/>
      <c r="ZM5" s="88"/>
      <c r="ZN5" s="88"/>
      <c r="ZO5" s="88"/>
      <c r="ZP5" s="88"/>
      <c r="ZQ5" s="88"/>
      <c r="ZR5" s="88"/>
      <c r="ZS5" s="88"/>
      <c r="ZT5" s="88"/>
      <c r="ZU5" s="88"/>
      <c r="ZV5" s="88"/>
      <c r="ZW5" s="88"/>
      <c r="ZX5" s="88"/>
      <c r="ZY5" s="88"/>
      <c r="ZZ5" s="88"/>
      <c r="AAA5" s="88"/>
      <c r="AAB5" s="88"/>
      <c r="AAC5" s="88"/>
      <c r="AAD5" s="88"/>
      <c r="AAE5" s="88"/>
      <c r="AAF5" s="88"/>
      <c r="AAG5" s="88"/>
      <c r="AAH5" s="88"/>
      <c r="AAI5" s="88"/>
      <c r="AAJ5" s="88"/>
      <c r="AAK5" s="88"/>
      <c r="AAL5" s="88"/>
      <c r="AAM5" s="88"/>
      <c r="AAN5" s="88"/>
      <c r="AAO5" s="88"/>
      <c r="AAP5" s="88"/>
      <c r="AAQ5" s="88"/>
      <c r="AAR5" s="88"/>
      <c r="AAS5" s="88"/>
      <c r="AAT5" s="88"/>
      <c r="AAU5" s="88"/>
      <c r="AAV5" s="88"/>
      <c r="AAW5" s="88"/>
      <c r="AAX5" s="88"/>
      <c r="AAY5" s="88"/>
      <c r="AAZ5" s="88"/>
      <c r="ABA5" s="88"/>
      <c r="ABB5" s="88"/>
      <c r="ABC5" s="88"/>
      <c r="ABD5" s="88"/>
      <c r="ABE5" s="88"/>
      <c r="ABF5" s="88"/>
      <c r="ABG5" s="88"/>
      <c r="ABH5" s="88"/>
      <c r="ABI5" s="88"/>
      <c r="ABJ5" s="88"/>
      <c r="ABK5" s="88"/>
      <c r="ABL5" s="88"/>
      <c r="ABM5" s="88"/>
      <c r="ABN5" s="88"/>
      <c r="ABO5" s="88"/>
      <c r="ABP5" s="88"/>
      <c r="ABQ5" s="88"/>
      <c r="ABR5" s="88"/>
      <c r="ABS5" s="88"/>
      <c r="ABT5" s="88"/>
      <c r="ABU5" s="88"/>
      <c r="ABV5" s="88"/>
      <c r="ABW5" s="88"/>
      <c r="ABX5" s="88"/>
      <c r="ABY5" s="88"/>
      <c r="ABZ5" s="88"/>
      <c r="ACA5" s="88"/>
      <c r="ACB5" s="88"/>
      <c r="ACC5" s="88"/>
      <c r="ACD5" s="88"/>
      <c r="ACE5" s="88"/>
      <c r="ACF5" s="88"/>
      <c r="ACG5" s="88"/>
      <c r="ACH5" s="88"/>
      <c r="ACI5" s="88"/>
      <c r="ACJ5" s="88"/>
      <c r="ACK5" s="88"/>
      <c r="ACL5" s="88"/>
      <c r="ACM5" s="88"/>
      <c r="ACN5" s="88"/>
      <c r="ACO5" s="88"/>
      <c r="ACP5" s="88"/>
      <c r="ACQ5" s="88"/>
      <c r="ACR5" s="88"/>
      <c r="ACS5" s="88"/>
      <c r="ACT5" s="88"/>
      <c r="ACU5" s="88"/>
      <c r="ACV5" s="88"/>
      <c r="ACW5" s="88"/>
      <c r="ACX5" s="88"/>
      <c r="ACY5" s="88"/>
      <c r="ACZ5" s="88"/>
      <c r="ADA5" s="88"/>
      <c r="ADB5" s="88"/>
      <c r="ADC5" s="88"/>
      <c r="ADD5" s="88"/>
      <c r="ADE5" s="88"/>
      <c r="ADF5" s="88"/>
      <c r="ADG5" s="88"/>
      <c r="ADH5" s="88"/>
      <c r="ADI5" s="88"/>
      <c r="ADJ5" s="88"/>
      <c r="ADK5" s="88"/>
      <c r="ADL5" s="88"/>
      <c r="ADM5" s="88"/>
      <c r="ADN5" s="88"/>
      <c r="ADO5" s="88"/>
      <c r="ADP5" s="88"/>
      <c r="ADQ5" s="88"/>
      <c r="ADR5" s="88"/>
      <c r="ADS5" s="88"/>
      <c r="ADT5" s="88"/>
      <c r="ADU5" s="88"/>
      <c r="ADV5" s="88"/>
      <c r="ADW5" s="88"/>
      <c r="ADX5" s="88"/>
      <c r="ADY5" s="88"/>
      <c r="ADZ5" s="88"/>
      <c r="AEA5" s="88"/>
      <c r="AEB5" s="88"/>
      <c r="AEC5" s="88"/>
      <c r="AED5" s="88"/>
      <c r="AEE5" s="88"/>
      <c r="AEF5" s="88"/>
      <c r="AEG5" s="88"/>
      <c r="AEH5" s="88"/>
      <c r="AEI5" s="88"/>
      <c r="AEJ5" s="88"/>
      <c r="AEK5" s="88"/>
      <c r="AEL5" s="88"/>
      <c r="AEM5" s="88"/>
      <c r="AEN5" s="88"/>
      <c r="AEO5" s="88"/>
      <c r="AEP5" s="88"/>
      <c r="AEQ5" s="88"/>
      <c r="AER5" s="88"/>
      <c r="AES5" s="88"/>
      <c r="AET5" s="88"/>
      <c r="AEU5" s="88"/>
      <c r="AEV5" s="88"/>
      <c r="AEW5" s="88"/>
      <c r="AEX5" s="88"/>
      <c r="AEY5" s="88"/>
      <c r="AEZ5" s="88"/>
      <c r="AFA5" s="88"/>
      <c r="AFB5" s="88"/>
      <c r="AFC5" s="88"/>
      <c r="AFD5" s="88"/>
      <c r="AFE5" s="88"/>
      <c r="AFF5" s="88"/>
      <c r="AFG5" s="88"/>
      <c r="AFH5" s="88"/>
      <c r="AFI5" s="88"/>
      <c r="AFJ5" s="88"/>
      <c r="AFK5" s="88"/>
      <c r="AFL5" s="88"/>
      <c r="AFM5" s="88"/>
      <c r="AFN5" s="90"/>
    </row>
    <row r="6" spans="1:846" ht="30" customHeight="1" thickBot="1" x14ac:dyDescent="0.3">
      <c r="B6" s="96"/>
      <c r="C6" s="17" t="s">
        <v>2</v>
      </c>
      <c r="D6" s="142"/>
      <c r="E6" s="18" t="s">
        <v>11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88"/>
      <c r="RS6" s="88"/>
      <c r="RT6" s="88"/>
      <c r="RU6" s="88"/>
      <c r="RV6" s="88"/>
      <c r="RW6" s="88"/>
      <c r="RX6" s="88"/>
      <c r="RY6" s="88"/>
      <c r="RZ6" s="88"/>
      <c r="SA6" s="88"/>
      <c r="SB6" s="88"/>
      <c r="SC6" s="88"/>
      <c r="SD6" s="88"/>
      <c r="SE6" s="88"/>
      <c r="SF6" s="88"/>
      <c r="SG6" s="88"/>
      <c r="SH6" s="88"/>
      <c r="SI6" s="88"/>
      <c r="SJ6" s="88"/>
      <c r="SK6" s="88"/>
      <c r="SL6" s="88"/>
      <c r="SM6" s="88"/>
      <c r="SN6" s="88"/>
      <c r="SO6" s="88"/>
      <c r="SP6" s="88"/>
      <c r="SQ6" s="88"/>
      <c r="SR6" s="88"/>
      <c r="SS6" s="88"/>
      <c r="ST6" s="88"/>
      <c r="SU6" s="88"/>
      <c r="SV6" s="88"/>
      <c r="SW6" s="88"/>
      <c r="SX6" s="88"/>
      <c r="SY6" s="88"/>
      <c r="SZ6" s="88"/>
      <c r="TA6" s="88"/>
      <c r="TB6" s="88"/>
      <c r="TC6" s="88"/>
      <c r="TD6" s="88"/>
      <c r="TE6" s="88"/>
      <c r="TF6" s="88"/>
      <c r="TG6" s="88"/>
      <c r="TH6" s="88"/>
      <c r="TI6" s="88"/>
      <c r="TJ6" s="88"/>
      <c r="TK6" s="88"/>
      <c r="TL6" s="88"/>
      <c r="TM6" s="88"/>
      <c r="TN6" s="88"/>
      <c r="TO6" s="88"/>
      <c r="TP6" s="88"/>
      <c r="TQ6" s="88"/>
      <c r="TR6" s="88"/>
      <c r="TS6" s="88"/>
      <c r="TT6" s="88"/>
      <c r="TU6" s="88"/>
      <c r="TV6" s="88"/>
      <c r="TW6" s="88"/>
      <c r="TX6" s="88"/>
      <c r="TY6" s="88"/>
      <c r="TZ6" s="88"/>
      <c r="UA6" s="88"/>
      <c r="UB6" s="88"/>
      <c r="UC6" s="88"/>
      <c r="UD6" s="88"/>
      <c r="UE6" s="88"/>
      <c r="UF6" s="88"/>
      <c r="UG6" s="88"/>
      <c r="UH6" s="88"/>
      <c r="UI6" s="88"/>
      <c r="UJ6" s="88"/>
      <c r="UK6" s="88"/>
      <c r="UL6" s="88"/>
      <c r="UM6" s="88"/>
      <c r="UN6" s="88"/>
      <c r="UO6" s="88"/>
      <c r="UP6" s="88"/>
      <c r="UQ6" s="88"/>
      <c r="UR6" s="88"/>
      <c r="US6" s="88"/>
      <c r="UT6" s="88"/>
      <c r="UU6" s="88"/>
      <c r="UV6" s="88"/>
      <c r="UW6" s="88"/>
      <c r="UX6" s="88"/>
      <c r="UY6" s="88"/>
      <c r="UZ6" s="88"/>
      <c r="VA6" s="88"/>
      <c r="VB6" s="88"/>
      <c r="VC6" s="88"/>
      <c r="VD6" s="88"/>
      <c r="VE6" s="88"/>
      <c r="VF6" s="88"/>
      <c r="VG6" s="88"/>
      <c r="VH6" s="88"/>
      <c r="VI6" s="88"/>
      <c r="VJ6" s="88"/>
      <c r="VK6" s="88"/>
      <c r="VL6" s="88"/>
      <c r="VM6" s="88"/>
      <c r="VN6" s="88"/>
      <c r="VO6" s="88"/>
      <c r="VP6" s="88"/>
      <c r="VQ6" s="88"/>
      <c r="VR6" s="88"/>
      <c r="VS6" s="88"/>
      <c r="VT6" s="88"/>
      <c r="VU6" s="88"/>
      <c r="VV6" s="88"/>
      <c r="VW6" s="88"/>
      <c r="VX6" s="88"/>
      <c r="VY6" s="88"/>
      <c r="VZ6" s="88"/>
      <c r="WA6" s="88"/>
      <c r="WB6" s="88"/>
      <c r="WC6" s="88"/>
      <c r="WD6" s="88"/>
      <c r="WE6" s="88"/>
      <c r="WF6" s="88"/>
      <c r="WG6" s="88"/>
      <c r="WH6" s="88"/>
      <c r="WI6" s="88"/>
      <c r="WJ6" s="88"/>
      <c r="WK6" s="88"/>
      <c r="WL6" s="88"/>
      <c r="WM6" s="88"/>
      <c r="WN6" s="88"/>
      <c r="WO6" s="88"/>
      <c r="WP6" s="88"/>
      <c r="WQ6" s="88"/>
      <c r="WR6" s="88"/>
      <c r="WS6" s="88"/>
      <c r="WT6" s="88"/>
      <c r="WU6" s="88"/>
      <c r="WV6" s="88"/>
      <c r="WW6" s="88"/>
      <c r="WX6" s="88"/>
      <c r="WY6" s="88"/>
      <c r="WZ6" s="88"/>
      <c r="XA6" s="88"/>
      <c r="XB6" s="88"/>
      <c r="XC6" s="88"/>
      <c r="XD6" s="88"/>
      <c r="XE6" s="88"/>
      <c r="XF6" s="88"/>
      <c r="XG6" s="88"/>
      <c r="XH6" s="88"/>
      <c r="XI6" s="88"/>
      <c r="XJ6" s="88"/>
      <c r="XK6" s="88"/>
      <c r="XL6" s="88"/>
      <c r="XM6" s="88"/>
      <c r="XN6" s="88"/>
      <c r="XO6" s="88"/>
      <c r="XP6" s="88"/>
      <c r="XQ6" s="88"/>
      <c r="XR6" s="88"/>
      <c r="XS6" s="88"/>
      <c r="XT6" s="88"/>
      <c r="XU6" s="88"/>
      <c r="XV6" s="88"/>
      <c r="XW6" s="88"/>
      <c r="XX6" s="88"/>
      <c r="XY6" s="88"/>
      <c r="XZ6" s="88"/>
      <c r="YA6" s="88"/>
      <c r="YB6" s="88"/>
      <c r="YC6" s="88"/>
      <c r="YD6" s="88"/>
      <c r="YE6" s="88"/>
      <c r="YF6" s="88"/>
      <c r="YG6" s="88"/>
      <c r="YH6" s="88"/>
      <c r="YI6" s="88"/>
      <c r="YJ6" s="88"/>
      <c r="YK6" s="88"/>
      <c r="YL6" s="88"/>
      <c r="YM6" s="88"/>
      <c r="YN6" s="88"/>
      <c r="YO6" s="88"/>
      <c r="YP6" s="88"/>
      <c r="YQ6" s="88"/>
      <c r="YR6" s="88"/>
      <c r="YS6" s="88"/>
      <c r="YT6" s="88"/>
      <c r="YU6" s="88"/>
      <c r="YV6" s="88"/>
      <c r="YW6" s="88"/>
      <c r="YX6" s="88"/>
      <c r="YY6" s="88"/>
      <c r="YZ6" s="88"/>
      <c r="ZA6" s="88"/>
      <c r="ZB6" s="88"/>
      <c r="ZC6" s="88"/>
      <c r="ZD6" s="88"/>
      <c r="ZE6" s="88"/>
      <c r="ZF6" s="88"/>
      <c r="ZG6" s="88"/>
      <c r="ZH6" s="88"/>
      <c r="ZI6" s="88"/>
      <c r="ZJ6" s="88"/>
      <c r="ZK6" s="88"/>
      <c r="ZL6" s="88"/>
      <c r="ZM6" s="88"/>
      <c r="ZN6" s="88"/>
      <c r="ZO6" s="88"/>
      <c r="ZP6" s="88"/>
      <c r="ZQ6" s="88"/>
      <c r="ZR6" s="88"/>
      <c r="ZS6" s="88"/>
      <c r="ZT6" s="88"/>
      <c r="ZU6" s="88"/>
      <c r="ZV6" s="88"/>
      <c r="ZW6" s="88"/>
      <c r="ZX6" s="88"/>
      <c r="ZY6" s="88"/>
      <c r="ZZ6" s="88"/>
      <c r="AAA6" s="88"/>
      <c r="AAB6" s="88"/>
      <c r="AAC6" s="88"/>
      <c r="AAD6" s="88"/>
      <c r="AAE6" s="88"/>
      <c r="AAF6" s="88"/>
      <c r="AAG6" s="88"/>
      <c r="AAH6" s="88"/>
      <c r="AAI6" s="88"/>
      <c r="AAJ6" s="88"/>
      <c r="AAK6" s="88"/>
      <c r="AAL6" s="88"/>
      <c r="AAM6" s="88"/>
      <c r="AAN6" s="88"/>
      <c r="AAO6" s="88"/>
      <c r="AAP6" s="88"/>
      <c r="AAQ6" s="88"/>
      <c r="AAR6" s="88"/>
      <c r="AAS6" s="88"/>
      <c r="AAT6" s="88"/>
      <c r="AAU6" s="88"/>
      <c r="AAV6" s="88"/>
      <c r="AAW6" s="88"/>
      <c r="AAX6" s="88"/>
      <c r="AAY6" s="88"/>
      <c r="AAZ6" s="88"/>
      <c r="ABA6" s="88"/>
      <c r="ABB6" s="88"/>
      <c r="ABC6" s="88"/>
      <c r="ABD6" s="88"/>
      <c r="ABE6" s="88"/>
      <c r="ABF6" s="88"/>
      <c r="ABG6" s="88"/>
      <c r="ABH6" s="88"/>
      <c r="ABI6" s="88"/>
      <c r="ABJ6" s="88"/>
      <c r="ABK6" s="88"/>
      <c r="ABL6" s="88"/>
      <c r="ABM6" s="88"/>
      <c r="ABN6" s="88"/>
      <c r="ABO6" s="88"/>
      <c r="ABP6" s="88"/>
      <c r="ABQ6" s="88"/>
      <c r="ABR6" s="88"/>
      <c r="ABS6" s="88"/>
      <c r="ABT6" s="88"/>
      <c r="ABU6" s="88"/>
      <c r="ABV6" s="88"/>
      <c r="ABW6" s="88"/>
      <c r="ABX6" s="88"/>
      <c r="ABY6" s="88"/>
      <c r="ABZ6" s="88"/>
      <c r="ACA6" s="88"/>
      <c r="ACB6" s="88"/>
      <c r="ACC6" s="88"/>
      <c r="ACD6" s="88"/>
      <c r="ACE6" s="88"/>
      <c r="ACF6" s="88"/>
      <c r="ACG6" s="88"/>
      <c r="ACH6" s="88"/>
      <c r="ACI6" s="88"/>
      <c r="ACJ6" s="88"/>
      <c r="ACK6" s="88"/>
      <c r="ACL6" s="88"/>
      <c r="ACM6" s="88"/>
      <c r="ACN6" s="88"/>
      <c r="ACO6" s="88"/>
      <c r="ACP6" s="88"/>
      <c r="ACQ6" s="88"/>
      <c r="ACR6" s="88"/>
      <c r="ACS6" s="88"/>
      <c r="ACT6" s="88"/>
      <c r="ACU6" s="88"/>
      <c r="ACV6" s="88"/>
      <c r="ACW6" s="88"/>
      <c r="ACX6" s="88"/>
      <c r="ACY6" s="88"/>
      <c r="ACZ6" s="88"/>
      <c r="ADA6" s="88"/>
      <c r="ADB6" s="88"/>
      <c r="ADC6" s="88"/>
      <c r="ADD6" s="88"/>
      <c r="ADE6" s="88"/>
      <c r="ADF6" s="88"/>
      <c r="ADG6" s="88"/>
      <c r="ADH6" s="88"/>
      <c r="ADI6" s="88"/>
      <c r="ADJ6" s="88"/>
      <c r="ADK6" s="88"/>
      <c r="ADL6" s="88"/>
      <c r="ADM6" s="88"/>
      <c r="ADN6" s="88"/>
      <c r="ADO6" s="88"/>
      <c r="ADP6" s="88"/>
      <c r="ADQ6" s="88"/>
      <c r="ADR6" s="88"/>
      <c r="ADS6" s="88"/>
      <c r="ADT6" s="88"/>
      <c r="ADU6" s="88"/>
      <c r="ADV6" s="88"/>
      <c r="ADW6" s="88"/>
      <c r="ADX6" s="88"/>
      <c r="ADY6" s="88"/>
      <c r="ADZ6" s="88"/>
      <c r="AEA6" s="88"/>
      <c r="AEB6" s="88"/>
      <c r="AEC6" s="88"/>
      <c r="AED6" s="88"/>
      <c r="AEE6" s="88"/>
      <c r="AEF6" s="88"/>
      <c r="AEG6" s="88"/>
      <c r="AEH6" s="88"/>
      <c r="AEI6" s="88"/>
      <c r="AEJ6" s="88"/>
      <c r="AEK6" s="88"/>
      <c r="AEL6" s="88"/>
      <c r="AEM6" s="88"/>
      <c r="AEN6" s="88"/>
      <c r="AEO6" s="88"/>
      <c r="AEP6" s="88"/>
      <c r="AEQ6" s="88"/>
      <c r="AER6" s="88"/>
      <c r="AES6" s="88"/>
      <c r="AET6" s="88"/>
      <c r="AEU6" s="88"/>
      <c r="AEV6" s="88"/>
      <c r="AEW6" s="88"/>
      <c r="AEX6" s="88"/>
      <c r="AEY6" s="88"/>
      <c r="AEZ6" s="88"/>
      <c r="AFA6" s="88"/>
      <c r="AFB6" s="88"/>
      <c r="AFC6" s="88"/>
      <c r="AFD6" s="88"/>
      <c r="AFE6" s="88"/>
      <c r="AFF6" s="88"/>
      <c r="AFG6" s="88"/>
      <c r="AFH6" s="88"/>
      <c r="AFI6" s="88"/>
      <c r="AFJ6" s="88"/>
      <c r="AFK6" s="88"/>
      <c r="AFL6" s="88"/>
      <c r="AFM6" s="88"/>
      <c r="AFN6" s="90"/>
    </row>
    <row r="7" spans="1:846" ht="20.100000000000001" customHeight="1" thickBot="1" x14ac:dyDescent="0.3">
      <c r="B7" s="96"/>
      <c r="C7" s="232"/>
      <c r="D7" s="232"/>
      <c r="E7" s="232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88"/>
      <c r="RS7" s="88"/>
      <c r="RT7" s="88"/>
      <c r="RU7" s="88"/>
      <c r="RV7" s="88"/>
      <c r="RW7" s="88"/>
      <c r="RX7" s="88"/>
      <c r="RY7" s="88"/>
      <c r="RZ7" s="88"/>
      <c r="SA7" s="88"/>
      <c r="SB7" s="88"/>
      <c r="SC7" s="88"/>
      <c r="SD7" s="88"/>
      <c r="SE7" s="88"/>
      <c r="SF7" s="88"/>
      <c r="SG7" s="88"/>
      <c r="SH7" s="88"/>
      <c r="SI7" s="88"/>
      <c r="SJ7" s="88"/>
      <c r="SK7" s="88"/>
      <c r="SL7" s="88"/>
      <c r="SM7" s="88"/>
      <c r="SN7" s="88"/>
      <c r="SO7" s="88"/>
      <c r="SP7" s="88"/>
      <c r="SQ7" s="88"/>
      <c r="SR7" s="88"/>
      <c r="SS7" s="88"/>
      <c r="ST7" s="88"/>
      <c r="SU7" s="88"/>
      <c r="SV7" s="88"/>
      <c r="SW7" s="88"/>
      <c r="SX7" s="88"/>
      <c r="SY7" s="88"/>
      <c r="SZ7" s="88"/>
      <c r="TA7" s="88"/>
      <c r="TB7" s="88"/>
      <c r="TC7" s="88"/>
      <c r="TD7" s="88"/>
      <c r="TE7" s="88"/>
      <c r="TF7" s="88"/>
      <c r="TG7" s="88"/>
      <c r="TH7" s="88"/>
      <c r="TI7" s="88"/>
      <c r="TJ7" s="88"/>
      <c r="TK7" s="88"/>
      <c r="TL7" s="88"/>
      <c r="TM7" s="88"/>
      <c r="TN7" s="88"/>
      <c r="TO7" s="88"/>
      <c r="TP7" s="88"/>
      <c r="TQ7" s="88"/>
      <c r="TR7" s="88"/>
      <c r="TS7" s="88"/>
      <c r="TT7" s="88"/>
      <c r="TU7" s="88"/>
      <c r="TV7" s="88"/>
      <c r="TW7" s="88"/>
      <c r="TX7" s="88"/>
      <c r="TY7" s="88"/>
      <c r="TZ7" s="88"/>
      <c r="UA7" s="88"/>
      <c r="UB7" s="88"/>
      <c r="UC7" s="88"/>
      <c r="UD7" s="88"/>
      <c r="UE7" s="88"/>
      <c r="UF7" s="88"/>
      <c r="UG7" s="88"/>
      <c r="UH7" s="88"/>
      <c r="UI7" s="88"/>
      <c r="UJ7" s="88"/>
      <c r="UK7" s="88"/>
      <c r="UL7" s="88"/>
      <c r="UM7" s="88"/>
      <c r="UN7" s="88"/>
      <c r="UO7" s="88"/>
      <c r="UP7" s="88"/>
      <c r="UQ7" s="88"/>
      <c r="UR7" s="88"/>
      <c r="US7" s="88"/>
      <c r="UT7" s="88"/>
      <c r="UU7" s="88"/>
      <c r="UV7" s="88"/>
      <c r="UW7" s="88"/>
      <c r="UX7" s="88"/>
      <c r="UY7" s="88"/>
      <c r="UZ7" s="88"/>
      <c r="VA7" s="88"/>
      <c r="VB7" s="88"/>
      <c r="VC7" s="88"/>
      <c r="VD7" s="88"/>
      <c r="VE7" s="88"/>
      <c r="VF7" s="88"/>
      <c r="VG7" s="88"/>
      <c r="VH7" s="88"/>
      <c r="VI7" s="88"/>
      <c r="VJ7" s="88"/>
      <c r="VK7" s="88"/>
      <c r="VL7" s="88"/>
      <c r="VM7" s="88"/>
      <c r="VN7" s="88"/>
      <c r="VO7" s="88"/>
      <c r="VP7" s="88"/>
      <c r="VQ7" s="88"/>
      <c r="VR7" s="88"/>
      <c r="VS7" s="88"/>
      <c r="VT7" s="88"/>
      <c r="VU7" s="88"/>
      <c r="VV7" s="88"/>
      <c r="VW7" s="88"/>
      <c r="VX7" s="88"/>
      <c r="VY7" s="88"/>
      <c r="VZ7" s="88"/>
      <c r="WA7" s="88"/>
      <c r="WB7" s="88"/>
      <c r="WC7" s="88"/>
      <c r="WD7" s="88"/>
      <c r="WE7" s="88"/>
      <c r="WF7" s="88"/>
      <c r="WG7" s="88"/>
      <c r="WH7" s="88"/>
      <c r="WI7" s="88"/>
      <c r="WJ7" s="88"/>
      <c r="WK7" s="88"/>
      <c r="WL7" s="88"/>
      <c r="WM7" s="88"/>
      <c r="WN7" s="88"/>
      <c r="WO7" s="88"/>
      <c r="WP7" s="88"/>
      <c r="WQ7" s="88"/>
      <c r="WR7" s="88"/>
      <c r="WS7" s="88"/>
      <c r="WT7" s="88"/>
      <c r="WU7" s="88"/>
      <c r="WV7" s="88"/>
      <c r="WW7" s="88"/>
      <c r="WX7" s="88"/>
      <c r="WY7" s="88"/>
      <c r="WZ7" s="88"/>
      <c r="XA7" s="88"/>
      <c r="XB7" s="88"/>
      <c r="XC7" s="88"/>
      <c r="XD7" s="88"/>
      <c r="XE7" s="88"/>
      <c r="XF7" s="88"/>
      <c r="XG7" s="88"/>
      <c r="XH7" s="88"/>
      <c r="XI7" s="88"/>
      <c r="XJ7" s="88"/>
      <c r="XK7" s="88"/>
      <c r="XL7" s="88"/>
      <c r="XM7" s="88"/>
      <c r="XN7" s="88"/>
      <c r="XO7" s="88"/>
      <c r="XP7" s="88"/>
      <c r="XQ7" s="88"/>
      <c r="XR7" s="88"/>
      <c r="XS7" s="88"/>
      <c r="XT7" s="88"/>
      <c r="XU7" s="88"/>
      <c r="XV7" s="88"/>
      <c r="XW7" s="88"/>
      <c r="XX7" s="88"/>
      <c r="XY7" s="88"/>
      <c r="XZ7" s="88"/>
      <c r="YA7" s="88"/>
      <c r="YB7" s="88"/>
      <c r="YC7" s="88"/>
      <c r="YD7" s="88"/>
      <c r="YE7" s="88"/>
      <c r="YF7" s="88"/>
      <c r="YG7" s="88"/>
      <c r="YH7" s="88"/>
      <c r="YI7" s="88"/>
      <c r="YJ7" s="88"/>
      <c r="YK7" s="88"/>
      <c r="YL7" s="88"/>
      <c r="YM7" s="88"/>
      <c r="YN7" s="88"/>
      <c r="YO7" s="88"/>
      <c r="YP7" s="88"/>
      <c r="YQ7" s="88"/>
      <c r="YR7" s="88"/>
      <c r="YS7" s="88"/>
      <c r="YT7" s="88"/>
      <c r="YU7" s="88"/>
      <c r="YV7" s="88"/>
      <c r="YW7" s="88"/>
      <c r="YX7" s="88"/>
      <c r="YY7" s="88"/>
      <c r="YZ7" s="88"/>
      <c r="ZA7" s="88"/>
      <c r="ZB7" s="88"/>
      <c r="ZC7" s="88"/>
      <c r="ZD7" s="88"/>
      <c r="ZE7" s="88"/>
      <c r="ZF7" s="88"/>
      <c r="ZG7" s="88"/>
      <c r="ZH7" s="88"/>
      <c r="ZI7" s="88"/>
      <c r="ZJ7" s="88"/>
      <c r="ZK7" s="88"/>
      <c r="ZL7" s="88"/>
      <c r="ZM7" s="88"/>
      <c r="ZN7" s="88"/>
      <c r="ZO7" s="88"/>
      <c r="ZP7" s="88"/>
      <c r="ZQ7" s="88"/>
      <c r="ZR7" s="88"/>
      <c r="ZS7" s="88"/>
      <c r="ZT7" s="88"/>
      <c r="ZU7" s="88"/>
      <c r="ZV7" s="88"/>
      <c r="ZW7" s="88"/>
      <c r="ZX7" s="88"/>
      <c r="ZY7" s="88"/>
      <c r="ZZ7" s="88"/>
      <c r="AAA7" s="88"/>
      <c r="AAB7" s="88"/>
      <c r="AAC7" s="88"/>
      <c r="AAD7" s="88"/>
      <c r="AAE7" s="88"/>
      <c r="AAF7" s="88"/>
      <c r="AAG7" s="88"/>
      <c r="AAH7" s="88"/>
      <c r="AAI7" s="88"/>
      <c r="AAJ7" s="88"/>
      <c r="AAK7" s="88"/>
      <c r="AAL7" s="88"/>
      <c r="AAM7" s="88"/>
      <c r="AAN7" s="88"/>
      <c r="AAO7" s="88"/>
      <c r="AAP7" s="88"/>
      <c r="AAQ7" s="88"/>
      <c r="AAR7" s="88"/>
      <c r="AAS7" s="88"/>
      <c r="AAT7" s="88"/>
      <c r="AAU7" s="88"/>
      <c r="AAV7" s="88"/>
      <c r="AAW7" s="88"/>
      <c r="AAX7" s="88"/>
      <c r="AAY7" s="88"/>
      <c r="AAZ7" s="88"/>
      <c r="ABA7" s="88"/>
      <c r="ABB7" s="88"/>
      <c r="ABC7" s="88"/>
      <c r="ABD7" s="88"/>
      <c r="ABE7" s="88"/>
      <c r="ABF7" s="88"/>
      <c r="ABG7" s="88"/>
      <c r="ABH7" s="88"/>
      <c r="ABI7" s="88"/>
      <c r="ABJ7" s="88"/>
      <c r="ABK7" s="88"/>
      <c r="ABL7" s="88"/>
      <c r="ABM7" s="88"/>
      <c r="ABN7" s="88"/>
      <c r="ABO7" s="88"/>
      <c r="ABP7" s="88"/>
      <c r="ABQ7" s="88"/>
      <c r="ABR7" s="88"/>
      <c r="ABS7" s="88"/>
      <c r="ABT7" s="88"/>
      <c r="ABU7" s="88"/>
      <c r="ABV7" s="88"/>
      <c r="ABW7" s="88"/>
      <c r="ABX7" s="88"/>
      <c r="ABY7" s="88"/>
      <c r="ABZ7" s="88"/>
      <c r="ACA7" s="88"/>
      <c r="ACB7" s="88"/>
      <c r="ACC7" s="88"/>
      <c r="ACD7" s="88"/>
      <c r="ACE7" s="88"/>
      <c r="ACF7" s="88"/>
      <c r="ACG7" s="88"/>
      <c r="ACH7" s="88"/>
      <c r="ACI7" s="88"/>
      <c r="ACJ7" s="88"/>
      <c r="ACK7" s="88"/>
      <c r="ACL7" s="88"/>
      <c r="ACM7" s="88"/>
      <c r="ACN7" s="88"/>
      <c r="ACO7" s="88"/>
      <c r="ACP7" s="88"/>
      <c r="ACQ7" s="88"/>
      <c r="ACR7" s="88"/>
      <c r="ACS7" s="88"/>
      <c r="ACT7" s="88"/>
      <c r="ACU7" s="88"/>
      <c r="ACV7" s="88"/>
      <c r="ACW7" s="88"/>
      <c r="ACX7" s="88"/>
      <c r="ACY7" s="88"/>
      <c r="ACZ7" s="88"/>
      <c r="ADA7" s="88"/>
      <c r="ADB7" s="88"/>
      <c r="ADC7" s="88"/>
      <c r="ADD7" s="88"/>
      <c r="ADE7" s="88"/>
      <c r="ADF7" s="88"/>
      <c r="ADG7" s="88"/>
      <c r="ADH7" s="88"/>
      <c r="ADI7" s="88"/>
      <c r="ADJ7" s="88"/>
      <c r="ADK7" s="88"/>
      <c r="ADL7" s="88"/>
      <c r="ADM7" s="88"/>
      <c r="ADN7" s="88"/>
      <c r="ADO7" s="88"/>
      <c r="ADP7" s="88"/>
      <c r="ADQ7" s="88"/>
      <c r="ADR7" s="88"/>
      <c r="ADS7" s="88"/>
      <c r="ADT7" s="88"/>
      <c r="ADU7" s="88"/>
      <c r="ADV7" s="88"/>
      <c r="ADW7" s="88"/>
      <c r="ADX7" s="88"/>
      <c r="ADY7" s="88"/>
      <c r="ADZ7" s="88"/>
      <c r="AEA7" s="88"/>
      <c r="AEB7" s="88"/>
      <c r="AEC7" s="88"/>
      <c r="AED7" s="88"/>
      <c r="AEE7" s="88"/>
      <c r="AEF7" s="88"/>
      <c r="AEG7" s="88"/>
      <c r="AEH7" s="88"/>
      <c r="AEI7" s="88"/>
      <c r="AEJ7" s="88"/>
      <c r="AEK7" s="88"/>
      <c r="AEL7" s="88"/>
      <c r="AEM7" s="88"/>
      <c r="AEN7" s="88"/>
      <c r="AEO7" s="88"/>
      <c r="AEP7" s="88"/>
      <c r="AEQ7" s="88"/>
      <c r="AER7" s="88"/>
      <c r="AES7" s="88"/>
      <c r="AET7" s="88"/>
      <c r="AEU7" s="88"/>
      <c r="AEV7" s="88"/>
      <c r="AEW7" s="88"/>
      <c r="AEX7" s="88"/>
      <c r="AEY7" s="88"/>
      <c r="AEZ7" s="88"/>
      <c r="AFA7" s="88"/>
      <c r="AFB7" s="88"/>
      <c r="AFC7" s="88"/>
      <c r="AFD7" s="88"/>
      <c r="AFE7" s="88"/>
      <c r="AFF7" s="88"/>
      <c r="AFG7" s="88"/>
      <c r="AFH7" s="88"/>
      <c r="AFI7" s="88"/>
      <c r="AFJ7" s="88"/>
      <c r="AFK7" s="88"/>
      <c r="AFL7" s="88"/>
      <c r="AFM7" s="88"/>
      <c r="AFN7" s="90"/>
    </row>
    <row r="8" spans="1:846" ht="30" customHeight="1" x14ac:dyDescent="0.25">
      <c r="B8" s="96"/>
      <c r="C8" s="7" t="s">
        <v>3</v>
      </c>
      <c r="D8" s="140"/>
      <c r="E8" s="165">
        <v>44711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88"/>
      <c r="RS8" s="88"/>
      <c r="RT8" s="88"/>
      <c r="RU8" s="88"/>
      <c r="RV8" s="88"/>
      <c r="RW8" s="88"/>
      <c r="RX8" s="88"/>
      <c r="RY8" s="88"/>
      <c r="RZ8" s="88"/>
      <c r="SA8" s="88"/>
      <c r="SB8" s="88"/>
      <c r="SC8" s="88"/>
      <c r="SD8" s="88"/>
      <c r="SE8" s="88"/>
      <c r="SF8" s="88"/>
      <c r="SG8" s="88"/>
      <c r="SH8" s="88"/>
      <c r="SI8" s="88"/>
      <c r="SJ8" s="88"/>
      <c r="SK8" s="88"/>
      <c r="SL8" s="88"/>
      <c r="SM8" s="88"/>
      <c r="SN8" s="88"/>
      <c r="SO8" s="88"/>
      <c r="SP8" s="88"/>
      <c r="SQ8" s="88"/>
      <c r="SR8" s="88"/>
      <c r="SS8" s="88"/>
      <c r="ST8" s="88"/>
      <c r="SU8" s="88"/>
      <c r="SV8" s="88"/>
      <c r="SW8" s="88"/>
      <c r="SX8" s="88"/>
      <c r="SY8" s="88"/>
      <c r="SZ8" s="88"/>
      <c r="TA8" s="88"/>
      <c r="TB8" s="88"/>
      <c r="TC8" s="88"/>
      <c r="TD8" s="88"/>
      <c r="TE8" s="88"/>
      <c r="TF8" s="88"/>
      <c r="TG8" s="88"/>
      <c r="TH8" s="88"/>
      <c r="TI8" s="88"/>
      <c r="TJ8" s="88"/>
      <c r="TK8" s="88"/>
      <c r="TL8" s="88"/>
      <c r="TM8" s="88"/>
      <c r="TN8" s="88"/>
      <c r="TO8" s="88"/>
      <c r="TP8" s="88"/>
      <c r="TQ8" s="88"/>
      <c r="TR8" s="88"/>
      <c r="TS8" s="88"/>
      <c r="TT8" s="88"/>
      <c r="TU8" s="88"/>
      <c r="TV8" s="88"/>
      <c r="TW8" s="88"/>
      <c r="TX8" s="88"/>
      <c r="TY8" s="88"/>
      <c r="TZ8" s="88"/>
      <c r="UA8" s="88"/>
      <c r="UB8" s="88"/>
      <c r="UC8" s="88"/>
      <c r="UD8" s="88"/>
      <c r="UE8" s="88"/>
      <c r="UF8" s="88"/>
      <c r="UG8" s="88"/>
      <c r="UH8" s="88"/>
      <c r="UI8" s="88"/>
      <c r="UJ8" s="88"/>
      <c r="UK8" s="88"/>
      <c r="UL8" s="88"/>
      <c r="UM8" s="88"/>
      <c r="UN8" s="88"/>
      <c r="UO8" s="88"/>
      <c r="UP8" s="88"/>
      <c r="UQ8" s="88"/>
      <c r="UR8" s="88"/>
      <c r="US8" s="88"/>
      <c r="UT8" s="88"/>
      <c r="UU8" s="88"/>
      <c r="UV8" s="88"/>
      <c r="UW8" s="88"/>
      <c r="UX8" s="88"/>
      <c r="UY8" s="88"/>
      <c r="UZ8" s="88"/>
      <c r="VA8" s="88"/>
      <c r="VB8" s="88"/>
      <c r="VC8" s="88"/>
      <c r="VD8" s="88"/>
      <c r="VE8" s="88"/>
      <c r="VF8" s="88"/>
      <c r="VG8" s="88"/>
      <c r="VH8" s="88"/>
      <c r="VI8" s="88"/>
      <c r="VJ8" s="88"/>
      <c r="VK8" s="88"/>
      <c r="VL8" s="88"/>
      <c r="VM8" s="88"/>
      <c r="VN8" s="88"/>
      <c r="VO8" s="88"/>
      <c r="VP8" s="88"/>
      <c r="VQ8" s="88"/>
      <c r="VR8" s="88"/>
      <c r="VS8" s="88"/>
      <c r="VT8" s="88"/>
      <c r="VU8" s="88"/>
      <c r="VV8" s="88"/>
      <c r="VW8" s="88"/>
      <c r="VX8" s="88"/>
      <c r="VY8" s="88"/>
      <c r="VZ8" s="88"/>
      <c r="WA8" s="88"/>
      <c r="WB8" s="88"/>
      <c r="WC8" s="88"/>
      <c r="WD8" s="88"/>
      <c r="WE8" s="88"/>
      <c r="WF8" s="88"/>
      <c r="WG8" s="88"/>
      <c r="WH8" s="88"/>
      <c r="WI8" s="88"/>
      <c r="WJ8" s="88"/>
      <c r="WK8" s="88"/>
      <c r="WL8" s="88"/>
      <c r="WM8" s="88"/>
      <c r="WN8" s="88"/>
      <c r="WO8" s="88"/>
      <c r="WP8" s="88"/>
      <c r="WQ8" s="88"/>
      <c r="WR8" s="88"/>
      <c r="WS8" s="88"/>
      <c r="WT8" s="88"/>
      <c r="WU8" s="88"/>
      <c r="WV8" s="88"/>
      <c r="WW8" s="88"/>
      <c r="WX8" s="88"/>
      <c r="WY8" s="88"/>
      <c r="WZ8" s="88"/>
      <c r="XA8" s="88"/>
      <c r="XB8" s="88"/>
      <c r="XC8" s="88"/>
      <c r="XD8" s="88"/>
      <c r="XE8" s="88"/>
      <c r="XF8" s="88"/>
      <c r="XG8" s="88"/>
      <c r="XH8" s="88"/>
      <c r="XI8" s="88"/>
      <c r="XJ8" s="88"/>
      <c r="XK8" s="88"/>
      <c r="XL8" s="88"/>
      <c r="XM8" s="88"/>
      <c r="XN8" s="88"/>
      <c r="XO8" s="88"/>
      <c r="XP8" s="88"/>
      <c r="XQ8" s="88"/>
      <c r="XR8" s="88"/>
      <c r="XS8" s="88"/>
      <c r="XT8" s="88"/>
      <c r="XU8" s="88"/>
      <c r="XV8" s="88"/>
      <c r="XW8" s="88"/>
      <c r="XX8" s="88"/>
      <c r="XY8" s="88"/>
      <c r="XZ8" s="88"/>
      <c r="YA8" s="88"/>
      <c r="YB8" s="88"/>
      <c r="YC8" s="88"/>
      <c r="YD8" s="88"/>
      <c r="YE8" s="88"/>
      <c r="YF8" s="88"/>
      <c r="YG8" s="88"/>
      <c r="YH8" s="88"/>
      <c r="YI8" s="88"/>
      <c r="YJ8" s="88"/>
      <c r="YK8" s="88"/>
      <c r="YL8" s="88"/>
      <c r="YM8" s="88"/>
      <c r="YN8" s="88"/>
      <c r="YO8" s="88"/>
      <c r="YP8" s="88"/>
      <c r="YQ8" s="88"/>
      <c r="YR8" s="88"/>
      <c r="YS8" s="88"/>
      <c r="YT8" s="88"/>
      <c r="YU8" s="88"/>
      <c r="YV8" s="88"/>
      <c r="YW8" s="88"/>
      <c r="YX8" s="88"/>
      <c r="YY8" s="88"/>
      <c r="YZ8" s="88"/>
      <c r="ZA8" s="88"/>
      <c r="ZB8" s="88"/>
      <c r="ZC8" s="88"/>
      <c r="ZD8" s="88"/>
      <c r="ZE8" s="88"/>
      <c r="ZF8" s="88"/>
      <c r="ZG8" s="88"/>
      <c r="ZH8" s="88"/>
      <c r="ZI8" s="88"/>
      <c r="ZJ8" s="88"/>
      <c r="ZK8" s="88"/>
      <c r="ZL8" s="88"/>
      <c r="ZM8" s="88"/>
      <c r="ZN8" s="88"/>
      <c r="ZO8" s="88"/>
      <c r="ZP8" s="88"/>
      <c r="ZQ8" s="88"/>
      <c r="ZR8" s="88"/>
      <c r="ZS8" s="88"/>
      <c r="ZT8" s="88"/>
      <c r="ZU8" s="88"/>
      <c r="ZV8" s="88"/>
      <c r="ZW8" s="88"/>
      <c r="ZX8" s="88"/>
      <c r="ZY8" s="88"/>
      <c r="ZZ8" s="88"/>
      <c r="AAA8" s="88"/>
      <c r="AAB8" s="88"/>
      <c r="AAC8" s="88"/>
      <c r="AAD8" s="88"/>
      <c r="AAE8" s="88"/>
      <c r="AAF8" s="88"/>
      <c r="AAG8" s="88"/>
      <c r="AAH8" s="88"/>
      <c r="AAI8" s="88"/>
      <c r="AAJ8" s="88"/>
      <c r="AAK8" s="88"/>
      <c r="AAL8" s="88"/>
      <c r="AAM8" s="88"/>
      <c r="AAN8" s="88"/>
      <c r="AAO8" s="88"/>
      <c r="AAP8" s="88"/>
      <c r="AAQ8" s="88"/>
      <c r="AAR8" s="88"/>
      <c r="AAS8" s="88"/>
      <c r="AAT8" s="88"/>
      <c r="AAU8" s="88"/>
      <c r="AAV8" s="88"/>
      <c r="AAW8" s="88"/>
      <c r="AAX8" s="88"/>
      <c r="AAY8" s="88"/>
      <c r="AAZ8" s="88"/>
      <c r="ABA8" s="88"/>
      <c r="ABB8" s="88"/>
      <c r="ABC8" s="88"/>
      <c r="ABD8" s="88"/>
      <c r="ABE8" s="88"/>
      <c r="ABF8" s="88"/>
      <c r="ABG8" s="88"/>
      <c r="ABH8" s="88"/>
      <c r="ABI8" s="88"/>
      <c r="ABJ8" s="88"/>
      <c r="ABK8" s="88"/>
      <c r="ABL8" s="88"/>
      <c r="ABM8" s="88"/>
      <c r="ABN8" s="88"/>
      <c r="ABO8" s="88"/>
      <c r="ABP8" s="88"/>
      <c r="ABQ8" s="88"/>
      <c r="ABR8" s="88"/>
      <c r="ABS8" s="88"/>
      <c r="ABT8" s="88"/>
      <c r="ABU8" s="88"/>
      <c r="ABV8" s="88"/>
      <c r="ABW8" s="88"/>
      <c r="ABX8" s="88"/>
      <c r="ABY8" s="88"/>
      <c r="ABZ8" s="88"/>
      <c r="ACA8" s="88"/>
      <c r="ACB8" s="88"/>
      <c r="ACC8" s="88"/>
      <c r="ACD8" s="88"/>
      <c r="ACE8" s="88"/>
      <c r="ACF8" s="88"/>
      <c r="ACG8" s="88"/>
      <c r="ACH8" s="88"/>
      <c r="ACI8" s="88"/>
      <c r="ACJ8" s="88"/>
      <c r="ACK8" s="88"/>
      <c r="ACL8" s="88"/>
      <c r="ACM8" s="88"/>
      <c r="ACN8" s="88"/>
      <c r="ACO8" s="88"/>
      <c r="ACP8" s="88"/>
      <c r="ACQ8" s="88"/>
      <c r="ACR8" s="88"/>
      <c r="ACS8" s="88"/>
      <c r="ACT8" s="88"/>
      <c r="ACU8" s="88"/>
      <c r="ACV8" s="88"/>
      <c r="ACW8" s="88"/>
      <c r="ACX8" s="88"/>
      <c r="ACY8" s="88"/>
      <c r="ACZ8" s="88"/>
      <c r="ADA8" s="88"/>
      <c r="ADB8" s="88"/>
      <c r="ADC8" s="88"/>
      <c r="ADD8" s="88"/>
      <c r="ADE8" s="88"/>
      <c r="ADF8" s="88"/>
      <c r="ADG8" s="88"/>
      <c r="ADH8" s="88"/>
      <c r="ADI8" s="88"/>
      <c r="ADJ8" s="88"/>
      <c r="ADK8" s="88"/>
      <c r="ADL8" s="88"/>
      <c r="ADM8" s="88"/>
      <c r="ADN8" s="88"/>
      <c r="ADO8" s="88"/>
      <c r="ADP8" s="88"/>
      <c r="ADQ8" s="88"/>
      <c r="ADR8" s="88"/>
      <c r="ADS8" s="88"/>
      <c r="ADT8" s="88"/>
      <c r="ADU8" s="88"/>
      <c r="ADV8" s="88"/>
      <c r="ADW8" s="88"/>
      <c r="ADX8" s="88"/>
      <c r="ADY8" s="88"/>
      <c r="ADZ8" s="88"/>
      <c r="AEA8" s="88"/>
      <c r="AEB8" s="88"/>
      <c r="AEC8" s="88"/>
      <c r="AED8" s="88"/>
      <c r="AEE8" s="88"/>
      <c r="AEF8" s="88"/>
      <c r="AEG8" s="88"/>
      <c r="AEH8" s="88"/>
      <c r="AEI8" s="88"/>
      <c r="AEJ8" s="88"/>
      <c r="AEK8" s="88"/>
      <c r="AEL8" s="88"/>
      <c r="AEM8" s="88"/>
      <c r="AEN8" s="88"/>
      <c r="AEO8" s="88"/>
      <c r="AEP8" s="88"/>
      <c r="AEQ8" s="88"/>
      <c r="AER8" s="88"/>
      <c r="AES8" s="88"/>
      <c r="AET8" s="88"/>
      <c r="AEU8" s="88"/>
      <c r="AEV8" s="88"/>
      <c r="AEW8" s="88"/>
      <c r="AEX8" s="88"/>
      <c r="AEY8" s="88"/>
      <c r="AEZ8" s="88"/>
      <c r="AFA8" s="88"/>
      <c r="AFB8" s="88"/>
      <c r="AFC8" s="88"/>
      <c r="AFD8" s="88"/>
      <c r="AFE8" s="88"/>
      <c r="AFF8" s="88"/>
      <c r="AFG8" s="88"/>
      <c r="AFH8" s="88"/>
      <c r="AFI8" s="88"/>
      <c r="AFJ8" s="88"/>
      <c r="AFK8" s="88"/>
      <c r="AFL8" s="88"/>
      <c r="AFM8" s="88"/>
      <c r="AFN8" s="90"/>
    </row>
    <row r="9" spans="1:846" ht="30" customHeight="1" x14ac:dyDescent="0.25">
      <c r="B9" s="96"/>
      <c r="C9" s="12" t="s">
        <v>18</v>
      </c>
      <c r="D9" s="141"/>
      <c r="E9" s="13" t="s">
        <v>22</v>
      </c>
      <c r="F9" s="14"/>
      <c r="G9" s="227" t="str">
        <f>E96</f>
        <v>42h45min</v>
      </c>
      <c r="H9" s="227"/>
      <c r="I9" s="227"/>
      <c r="J9" s="227"/>
      <c r="K9" s="227"/>
      <c r="L9" s="227"/>
      <c r="M9" s="227"/>
      <c r="N9" s="227"/>
      <c r="O9" s="227"/>
      <c r="P9" s="227"/>
      <c r="Q9" s="227"/>
      <c r="R9" s="227"/>
      <c r="S9" s="227"/>
      <c r="T9" s="227"/>
      <c r="U9" s="227"/>
      <c r="V9" s="119"/>
      <c r="W9" s="226" t="s">
        <v>23</v>
      </c>
      <c r="X9" s="226"/>
      <c r="Y9" s="226"/>
      <c r="Z9" s="226"/>
      <c r="AA9" s="226"/>
      <c r="AB9" s="226"/>
      <c r="AC9" s="226"/>
      <c r="AD9" s="226"/>
      <c r="AE9" s="226"/>
      <c r="AF9" s="226"/>
      <c r="AG9" s="226"/>
      <c r="AH9" s="227" t="str">
        <f>E98</f>
        <v>37h30min</v>
      </c>
      <c r="AI9" s="227"/>
      <c r="AJ9" s="227"/>
      <c r="AK9" s="227"/>
      <c r="AL9" s="227"/>
      <c r="AM9" s="227"/>
      <c r="AN9" s="227"/>
      <c r="AO9" s="227"/>
      <c r="AP9" s="227"/>
      <c r="AQ9" s="227"/>
      <c r="AR9" s="227"/>
      <c r="AS9" s="227"/>
      <c r="AT9" s="227"/>
      <c r="AU9" s="227"/>
      <c r="AV9" s="227"/>
      <c r="AW9" s="227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88"/>
      <c r="RS9" s="88"/>
      <c r="RT9" s="88"/>
      <c r="RU9" s="88"/>
      <c r="RV9" s="88"/>
      <c r="RW9" s="88"/>
      <c r="RX9" s="88"/>
      <c r="RY9" s="88"/>
      <c r="RZ9" s="88"/>
      <c r="SA9" s="88"/>
      <c r="SB9" s="88"/>
      <c r="SC9" s="88"/>
      <c r="SD9" s="88"/>
      <c r="SE9" s="88"/>
      <c r="SF9" s="88"/>
      <c r="SG9" s="88"/>
      <c r="SH9" s="88"/>
      <c r="SI9" s="88"/>
      <c r="SJ9" s="88"/>
      <c r="SK9" s="88"/>
      <c r="SL9" s="88"/>
      <c r="SM9" s="88"/>
      <c r="SN9" s="88"/>
      <c r="SO9" s="88"/>
      <c r="SP9" s="88"/>
      <c r="SQ9" s="88"/>
      <c r="SR9" s="88"/>
      <c r="SS9" s="88"/>
      <c r="ST9" s="88"/>
      <c r="SU9" s="88"/>
      <c r="SV9" s="88"/>
      <c r="SW9" s="88"/>
      <c r="SX9" s="88"/>
      <c r="SY9" s="88"/>
      <c r="SZ9" s="88"/>
      <c r="TA9" s="88"/>
      <c r="TB9" s="88"/>
      <c r="TC9" s="88"/>
      <c r="TD9" s="88"/>
      <c r="TE9" s="88"/>
      <c r="TF9" s="88"/>
      <c r="TG9" s="88"/>
      <c r="TH9" s="88"/>
      <c r="TI9" s="88"/>
      <c r="TJ9" s="88"/>
      <c r="TK9" s="88"/>
      <c r="TL9" s="88"/>
      <c r="TM9" s="88"/>
      <c r="TN9" s="88"/>
      <c r="TO9" s="88"/>
      <c r="TP9" s="88"/>
      <c r="TQ9" s="88"/>
      <c r="TR9" s="88"/>
      <c r="TS9" s="88"/>
      <c r="TT9" s="88"/>
      <c r="TU9" s="88"/>
      <c r="TV9" s="88"/>
      <c r="TW9" s="88"/>
      <c r="TX9" s="88"/>
      <c r="TY9" s="88"/>
      <c r="TZ9" s="88"/>
      <c r="UA9" s="88"/>
      <c r="UB9" s="88"/>
      <c r="UC9" s="88"/>
      <c r="UD9" s="88"/>
      <c r="UE9" s="88"/>
      <c r="UF9" s="88"/>
      <c r="UG9" s="88"/>
      <c r="UH9" s="88"/>
      <c r="UI9" s="88"/>
      <c r="UJ9" s="88"/>
      <c r="UK9" s="88"/>
      <c r="UL9" s="88"/>
      <c r="UM9" s="88"/>
      <c r="UN9" s="88"/>
      <c r="UO9" s="88"/>
      <c r="UP9" s="88"/>
      <c r="UQ9" s="88"/>
      <c r="UR9" s="88"/>
      <c r="US9" s="88"/>
      <c r="UT9" s="88"/>
      <c r="UU9" s="88"/>
      <c r="UV9" s="88"/>
      <c r="UW9" s="88"/>
      <c r="UX9" s="88"/>
      <c r="UY9" s="88"/>
      <c r="UZ9" s="88"/>
      <c r="VA9" s="88"/>
      <c r="VB9" s="88"/>
      <c r="VC9" s="88"/>
      <c r="VD9" s="88"/>
      <c r="VE9" s="88"/>
      <c r="VF9" s="88"/>
      <c r="VG9" s="88"/>
      <c r="VH9" s="88"/>
      <c r="VI9" s="88"/>
      <c r="VJ9" s="88"/>
      <c r="VK9" s="88"/>
      <c r="VL9" s="88"/>
      <c r="VM9" s="88"/>
      <c r="VN9" s="88"/>
      <c r="VO9" s="88"/>
      <c r="VP9" s="88"/>
      <c r="VQ9" s="88"/>
      <c r="VR9" s="88"/>
      <c r="VS9" s="88"/>
      <c r="VT9" s="88"/>
      <c r="VU9" s="88"/>
      <c r="VV9" s="88"/>
      <c r="VW9" s="88"/>
      <c r="VX9" s="88"/>
      <c r="VY9" s="88"/>
      <c r="VZ9" s="88"/>
      <c r="WA9" s="88"/>
      <c r="WB9" s="88"/>
      <c r="WC9" s="88"/>
      <c r="WD9" s="88"/>
      <c r="WE9" s="88"/>
      <c r="WF9" s="88"/>
      <c r="WG9" s="88"/>
      <c r="WH9" s="88"/>
      <c r="WI9" s="88"/>
      <c r="WJ9" s="88"/>
      <c r="WK9" s="88"/>
      <c r="WL9" s="88"/>
      <c r="WM9" s="88"/>
      <c r="WN9" s="88"/>
      <c r="WO9" s="88"/>
      <c r="WP9" s="88"/>
      <c r="WQ9" s="88"/>
      <c r="WR9" s="88"/>
      <c r="WS9" s="88"/>
      <c r="WT9" s="88"/>
      <c r="WU9" s="88"/>
      <c r="WV9" s="88"/>
      <c r="WW9" s="88"/>
      <c r="WX9" s="88"/>
      <c r="WY9" s="88"/>
      <c r="WZ9" s="88"/>
      <c r="XA9" s="88"/>
      <c r="XB9" s="88"/>
      <c r="XC9" s="88"/>
      <c r="XD9" s="88"/>
      <c r="XE9" s="88"/>
      <c r="XF9" s="88"/>
      <c r="XG9" s="88"/>
      <c r="XH9" s="88"/>
      <c r="XI9" s="88"/>
      <c r="XJ9" s="88"/>
      <c r="XK9" s="88"/>
      <c r="XL9" s="88"/>
      <c r="XM9" s="88"/>
      <c r="XN9" s="88"/>
      <c r="XO9" s="88"/>
      <c r="XP9" s="88"/>
      <c r="XQ9" s="88"/>
      <c r="XR9" s="88"/>
      <c r="XS9" s="88"/>
      <c r="XT9" s="88"/>
      <c r="XU9" s="88"/>
      <c r="XV9" s="88"/>
      <c r="XW9" s="88"/>
      <c r="XX9" s="88"/>
      <c r="XY9" s="88"/>
      <c r="XZ9" s="88"/>
      <c r="YA9" s="88"/>
      <c r="YB9" s="88"/>
      <c r="YC9" s="88"/>
      <c r="YD9" s="88"/>
      <c r="YE9" s="88"/>
      <c r="YF9" s="88"/>
      <c r="YG9" s="88"/>
      <c r="YH9" s="88"/>
      <c r="YI9" s="88"/>
      <c r="YJ9" s="88"/>
      <c r="YK9" s="88"/>
      <c r="YL9" s="88"/>
      <c r="YM9" s="88"/>
      <c r="YN9" s="88"/>
      <c r="YO9" s="88"/>
      <c r="YP9" s="88"/>
      <c r="YQ9" s="88"/>
      <c r="YR9" s="88"/>
      <c r="YS9" s="88"/>
      <c r="YT9" s="88"/>
      <c r="YU9" s="88"/>
      <c r="YV9" s="88"/>
      <c r="YW9" s="88"/>
      <c r="YX9" s="88"/>
      <c r="YY9" s="88"/>
      <c r="YZ9" s="88"/>
      <c r="ZA9" s="88"/>
      <c r="ZB9" s="88"/>
      <c r="ZC9" s="88"/>
      <c r="ZD9" s="88"/>
      <c r="ZE9" s="88"/>
      <c r="ZF9" s="88"/>
      <c r="ZG9" s="88"/>
      <c r="ZH9" s="88"/>
      <c r="ZI9" s="88"/>
      <c r="ZJ9" s="88"/>
      <c r="ZK9" s="88"/>
      <c r="ZL9" s="88"/>
      <c r="ZM9" s="88"/>
      <c r="ZN9" s="88"/>
      <c r="ZO9" s="88"/>
      <c r="ZP9" s="88"/>
      <c r="ZQ9" s="88"/>
      <c r="ZR9" s="88"/>
      <c r="ZS9" s="88"/>
      <c r="ZT9" s="88"/>
      <c r="ZU9" s="88"/>
      <c r="ZV9" s="88"/>
      <c r="ZW9" s="88"/>
      <c r="ZX9" s="88"/>
      <c r="ZY9" s="88"/>
      <c r="ZZ9" s="88"/>
      <c r="AAA9" s="88"/>
      <c r="AAB9" s="88"/>
      <c r="AAC9" s="88"/>
      <c r="AAD9" s="88"/>
      <c r="AAE9" s="88"/>
      <c r="AAF9" s="88"/>
      <c r="AAG9" s="88"/>
      <c r="AAH9" s="88"/>
      <c r="AAI9" s="88"/>
      <c r="AAJ9" s="88"/>
      <c r="AAK9" s="88"/>
      <c r="AAL9" s="88"/>
      <c r="AAM9" s="88"/>
      <c r="AAN9" s="88"/>
      <c r="AAO9" s="88"/>
      <c r="AAP9" s="88"/>
      <c r="AAQ9" s="88"/>
      <c r="AAR9" s="88"/>
      <c r="AAS9" s="88"/>
      <c r="AAT9" s="88"/>
      <c r="AAU9" s="88"/>
      <c r="AAV9" s="88"/>
      <c r="AAW9" s="88"/>
      <c r="AAX9" s="88"/>
      <c r="AAY9" s="88"/>
      <c r="AAZ9" s="88"/>
      <c r="ABA9" s="88"/>
      <c r="ABB9" s="88"/>
      <c r="ABC9" s="88"/>
      <c r="ABD9" s="88"/>
      <c r="ABE9" s="88"/>
      <c r="ABF9" s="88"/>
      <c r="ABG9" s="88"/>
      <c r="ABH9" s="88"/>
      <c r="ABI9" s="88"/>
      <c r="ABJ9" s="88"/>
      <c r="ABK9" s="88"/>
      <c r="ABL9" s="88"/>
      <c r="ABM9" s="88"/>
      <c r="ABN9" s="88"/>
      <c r="ABO9" s="88"/>
      <c r="ABP9" s="88"/>
      <c r="ABQ9" s="88"/>
      <c r="ABR9" s="88"/>
      <c r="ABS9" s="88"/>
      <c r="ABT9" s="88"/>
      <c r="ABU9" s="88"/>
      <c r="ABV9" s="88"/>
      <c r="ABW9" s="88"/>
      <c r="ABX9" s="88"/>
      <c r="ABY9" s="88"/>
      <c r="ABZ9" s="88"/>
      <c r="ACA9" s="88"/>
      <c r="ACB9" s="88"/>
      <c r="ACC9" s="88"/>
      <c r="ACD9" s="88"/>
      <c r="ACE9" s="88"/>
      <c r="ACF9" s="88"/>
      <c r="ACG9" s="88"/>
      <c r="ACH9" s="88"/>
      <c r="ACI9" s="88"/>
      <c r="ACJ9" s="88"/>
      <c r="ACK9" s="88"/>
      <c r="ACL9" s="88"/>
      <c r="ACM9" s="88"/>
      <c r="ACN9" s="88"/>
      <c r="ACO9" s="88"/>
      <c r="ACP9" s="88"/>
      <c r="ACQ9" s="88"/>
      <c r="ACR9" s="88"/>
      <c r="ACS9" s="88"/>
      <c r="ACT9" s="88"/>
      <c r="ACU9" s="88"/>
      <c r="ACV9" s="88"/>
      <c r="ACW9" s="88"/>
      <c r="ACX9" s="88"/>
      <c r="ACY9" s="88"/>
      <c r="ACZ9" s="88"/>
      <c r="ADA9" s="88"/>
      <c r="ADB9" s="88"/>
      <c r="ADC9" s="88"/>
      <c r="ADD9" s="88"/>
      <c r="ADE9" s="88"/>
      <c r="ADF9" s="88"/>
      <c r="ADG9" s="88"/>
      <c r="ADH9" s="88"/>
      <c r="ADI9" s="88"/>
      <c r="ADJ9" s="88"/>
      <c r="ADK9" s="88"/>
      <c r="ADL9" s="88"/>
      <c r="ADM9" s="88"/>
      <c r="ADN9" s="88"/>
      <c r="ADO9" s="88"/>
      <c r="ADP9" s="88"/>
      <c r="ADQ9" s="88"/>
      <c r="ADR9" s="88"/>
      <c r="ADS9" s="88"/>
      <c r="ADT9" s="88"/>
      <c r="ADU9" s="88"/>
      <c r="ADV9" s="88"/>
      <c r="ADW9" s="88"/>
      <c r="ADX9" s="88"/>
      <c r="ADY9" s="88"/>
      <c r="ADZ9" s="88"/>
      <c r="AEA9" s="88"/>
      <c r="AEB9" s="88"/>
      <c r="AEC9" s="88"/>
      <c r="AED9" s="88"/>
      <c r="AEE9" s="88"/>
      <c r="AEF9" s="88"/>
      <c r="AEG9" s="88"/>
      <c r="AEH9" s="88"/>
      <c r="AEI9" s="88"/>
      <c r="AEJ9" s="88"/>
      <c r="AEK9" s="88"/>
      <c r="AEL9" s="88"/>
      <c r="AEM9" s="88"/>
      <c r="AEN9" s="88"/>
      <c r="AEO9" s="88"/>
      <c r="AEP9" s="88"/>
      <c r="AEQ9" s="88"/>
      <c r="AER9" s="88"/>
      <c r="AES9" s="88"/>
      <c r="AET9" s="88"/>
      <c r="AEU9" s="88"/>
      <c r="AEV9" s="88"/>
      <c r="AEW9" s="88"/>
      <c r="AEX9" s="88"/>
      <c r="AEY9" s="88"/>
      <c r="AEZ9" s="88"/>
      <c r="AFA9" s="88"/>
      <c r="AFB9" s="88"/>
      <c r="AFC9" s="88"/>
      <c r="AFD9" s="88"/>
      <c r="AFE9" s="88"/>
      <c r="AFF9" s="88"/>
      <c r="AFG9" s="88"/>
      <c r="AFH9" s="88"/>
      <c r="AFI9" s="88"/>
      <c r="AFJ9" s="88"/>
      <c r="AFK9" s="88"/>
      <c r="AFL9" s="88"/>
      <c r="AFM9" s="88"/>
      <c r="AFN9" s="90"/>
    </row>
    <row r="10" spans="1:84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28"/>
      <c r="BO10" s="228"/>
      <c r="BP10" s="228"/>
      <c r="BQ10" s="228"/>
      <c r="BR10" s="228"/>
      <c r="BS10" s="228"/>
      <c r="BT10" s="228"/>
      <c r="BU10" s="228"/>
      <c r="BV10" s="228"/>
      <c r="BW10" s="228"/>
      <c r="BX10" s="228"/>
      <c r="BY10" s="228"/>
      <c r="BZ10" s="228"/>
      <c r="CA10" s="228"/>
      <c r="CB10" s="228"/>
      <c r="CC10" s="228"/>
      <c r="CD10" s="228"/>
      <c r="CE10" s="228"/>
      <c r="CF10" s="228"/>
      <c r="CG10" s="228"/>
      <c r="CH10" s="228"/>
      <c r="CI10" s="228"/>
      <c r="CJ10" s="228"/>
      <c r="CK10" s="228"/>
      <c r="CL10" s="228"/>
      <c r="CM10" s="228"/>
      <c r="CN10" s="228"/>
      <c r="CO10" s="228"/>
      <c r="CP10" s="228"/>
      <c r="CQ10" s="92"/>
      <c r="CR10" s="201"/>
      <c r="CS10" s="201"/>
      <c r="CT10" s="201"/>
      <c r="CU10" s="201"/>
      <c r="CV10" s="201"/>
      <c r="CW10" s="201"/>
      <c r="CX10" s="201"/>
      <c r="CY10" s="201"/>
      <c r="CZ10" s="201"/>
      <c r="DA10" s="201"/>
      <c r="DB10" s="201"/>
      <c r="DC10" s="201"/>
      <c r="DD10" s="201"/>
      <c r="DE10" s="201"/>
      <c r="DF10" s="201"/>
      <c r="DG10" s="201"/>
      <c r="DH10" s="201"/>
      <c r="DI10" s="201"/>
      <c r="DJ10" s="201"/>
      <c r="DK10" s="201"/>
      <c r="DL10" s="201"/>
      <c r="DM10" s="201"/>
      <c r="DN10" s="201"/>
      <c r="DO10" s="201"/>
      <c r="DP10" s="201"/>
      <c r="DQ10" s="201"/>
      <c r="DR10" s="201"/>
      <c r="DS10" s="201"/>
      <c r="DT10" s="201"/>
      <c r="DU10" s="201"/>
      <c r="DV10" s="201"/>
      <c r="DW10" s="201"/>
      <c r="DX10" s="201"/>
      <c r="DY10" s="201"/>
      <c r="DZ10" s="201"/>
      <c r="EA10" s="201"/>
      <c r="EB10" s="201"/>
      <c r="EC10" s="201"/>
      <c r="ED10" s="201"/>
      <c r="EE10" s="201"/>
      <c r="EF10" s="201"/>
      <c r="EG10" s="201"/>
      <c r="EH10" s="201"/>
      <c r="EI10" s="201"/>
      <c r="EJ10" s="201"/>
      <c r="EK10" s="201"/>
      <c r="EL10" s="201"/>
      <c r="EM10" s="201"/>
      <c r="EN10" s="201"/>
      <c r="EO10" s="201"/>
      <c r="EP10" s="201"/>
      <c r="EQ10" s="201"/>
      <c r="ER10" s="201"/>
      <c r="ES10" s="201"/>
      <c r="ET10" s="201"/>
      <c r="EU10" s="201"/>
      <c r="EV10" s="201"/>
      <c r="EW10" s="201"/>
      <c r="EX10" s="201"/>
      <c r="EY10" s="201"/>
      <c r="EZ10" s="201"/>
      <c r="FA10" s="201"/>
      <c r="FB10" s="201"/>
      <c r="FC10" s="201"/>
      <c r="FD10" s="201"/>
      <c r="FE10" s="201"/>
      <c r="FF10" s="201"/>
      <c r="FG10" s="201"/>
      <c r="FH10" s="201"/>
      <c r="FI10" s="201"/>
      <c r="FJ10" s="201"/>
      <c r="FK10" s="201"/>
      <c r="FL10" s="201"/>
      <c r="FM10" s="201"/>
      <c r="FN10" s="201"/>
      <c r="FO10" s="201"/>
      <c r="FP10" s="201"/>
      <c r="FQ10" s="201"/>
      <c r="FR10" s="201"/>
      <c r="FS10" s="201"/>
      <c r="FT10" s="201"/>
      <c r="FU10" s="201"/>
      <c r="FV10" s="201"/>
      <c r="FW10" s="201"/>
      <c r="FX10" s="201"/>
      <c r="FY10" s="201"/>
      <c r="FZ10" s="201"/>
      <c r="GA10" s="201"/>
      <c r="GB10" s="201"/>
      <c r="GC10" s="201"/>
      <c r="GD10" s="201"/>
      <c r="GE10" s="201"/>
      <c r="GF10" s="201"/>
      <c r="GG10" s="201"/>
      <c r="GH10" s="201"/>
      <c r="GI10" s="201"/>
      <c r="GJ10" s="201"/>
      <c r="GK10" s="201"/>
      <c r="GL10" s="201"/>
      <c r="GM10" s="201"/>
      <c r="GN10" s="201"/>
      <c r="GO10" s="201"/>
      <c r="GP10" s="201"/>
      <c r="GQ10" s="201"/>
      <c r="GR10" s="201"/>
      <c r="GS10" s="201"/>
      <c r="GT10" s="201"/>
      <c r="GU10" s="201"/>
      <c r="GV10" s="201"/>
      <c r="GW10" s="201"/>
      <c r="GX10" s="201"/>
      <c r="GY10" s="201"/>
      <c r="GZ10" s="201"/>
      <c r="HA10" s="201"/>
      <c r="HB10" s="201"/>
      <c r="HC10" s="201"/>
      <c r="HD10" s="201"/>
      <c r="HE10" s="201"/>
      <c r="HF10" s="201"/>
      <c r="HG10" s="201"/>
      <c r="HH10" s="201"/>
      <c r="HI10" s="201"/>
      <c r="HJ10" s="201"/>
      <c r="HK10" s="201"/>
      <c r="HL10" s="201"/>
      <c r="HM10" s="201"/>
      <c r="HN10" s="201"/>
      <c r="HO10" s="201"/>
      <c r="HP10" s="201"/>
      <c r="HQ10" s="201"/>
      <c r="HR10" s="201"/>
      <c r="HS10" s="201"/>
      <c r="HT10" s="201"/>
      <c r="HU10" s="201"/>
      <c r="HV10" s="201"/>
      <c r="HW10" s="201"/>
      <c r="HX10" s="201"/>
      <c r="HY10" s="201"/>
      <c r="HZ10" s="201"/>
      <c r="IA10" s="201"/>
      <c r="IB10" s="201"/>
      <c r="IC10" s="201"/>
      <c r="ID10" s="201"/>
      <c r="IE10" s="201"/>
      <c r="IF10" s="201"/>
      <c r="IG10" s="201"/>
      <c r="IH10" s="201"/>
      <c r="II10" s="201"/>
      <c r="IJ10" s="201"/>
      <c r="IK10" s="201"/>
      <c r="IL10" s="201"/>
      <c r="IM10" s="201"/>
      <c r="IN10" s="201"/>
      <c r="IO10" s="201"/>
      <c r="IP10" s="201"/>
      <c r="IQ10" s="201"/>
      <c r="IR10" s="201"/>
      <c r="IS10" s="201"/>
      <c r="IT10" s="201"/>
      <c r="IU10" s="201"/>
      <c r="IV10" s="201"/>
      <c r="IW10" s="201"/>
      <c r="IX10" s="201"/>
      <c r="IY10" s="201"/>
      <c r="IZ10" s="201"/>
      <c r="JA10" s="201"/>
      <c r="JB10" s="201"/>
      <c r="JC10" s="201"/>
      <c r="JD10" s="201"/>
      <c r="JE10" s="201"/>
      <c r="JF10" s="201"/>
      <c r="JG10" s="201"/>
      <c r="JH10" s="201"/>
      <c r="JI10" s="201"/>
      <c r="JJ10" s="201"/>
      <c r="JK10" s="201"/>
      <c r="JL10" s="201"/>
      <c r="JM10" s="201"/>
      <c r="JN10" s="201"/>
      <c r="JO10" s="201"/>
      <c r="JP10" s="201"/>
      <c r="JQ10" s="201"/>
      <c r="JR10" s="201"/>
      <c r="JS10" s="201"/>
      <c r="JT10" s="201"/>
      <c r="JU10" s="201"/>
      <c r="JV10" s="201"/>
      <c r="JW10" s="201"/>
      <c r="JX10" s="201"/>
      <c r="JY10" s="201"/>
      <c r="JZ10" s="201"/>
      <c r="KA10" s="201"/>
      <c r="KB10" s="201"/>
      <c r="KC10" s="201"/>
      <c r="KD10" s="201"/>
      <c r="KE10" s="201"/>
      <c r="KF10" s="201"/>
      <c r="KG10" s="201"/>
      <c r="KH10" s="201"/>
      <c r="KI10" s="201"/>
      <c r="KJ10" s="201"/>
      <c r="KK10" s="201"/>
      <c r="KL10" s="201"/>
      <c r="KM10" s="201"/>
      <c r="KN10" s="201"/>
      <c r="KO10" s="201"/>
      <c r="KP10" s="201"/>
      <c r="KQ10" s="201"/>
      <c r="KR10" s="201"/>
      <c r="KS10" s="201"/>
      <c r="KT10" s="201"/>
      <c r="KU10" s="201"/>
      <c r="KV10" s="201"/>
      <c r="KW10" s="201"/>
      <c r="KX10" s="201"/>
      <c r="KY10" s="201"/>
      <c r="KZ10" s="201"/>
      <c r="LA10" s="201"/>
      <c r="LB10" s="201"/>
      <c r="LC10" s="201"/>
      <c r="LD10" s="201"/>
      <c r="LE10" s="201"/>
      <c r="LF10" s="201"/>
      <c r="LG10" s="201"/>
      <c r="LH10" s="201"/>
      <c r="LI10" s="201"/>
      <c r="LJ10" s="201"/>
      <c r="LK10" s="201"/>
      <c r="LL10" s="201"/>
      <c r="LM10" s="201"/>
      <c r="LN10" s="201"/>
      <c r="LO10" s="201"/>
      <c r="LP10" s="201"/>
      <c r="LQ10" s="201"/>
      <c r="LR10" s="201"/>
      <c r="LS10" s="201"/>
      <c r="LT10" s="201"/>
      <c r="LU10" s="201"/>
      <c r="LV10" s="201"/>
      <c r="LW10" s="201"/>
      <c r="LX10" s="201"/>
      <c r="LY10" s="201"/>
      <c r="LZ10" s="201"/>
      <c r="MA10" s="201"/>
      <c r="MB10" s="201"/>
      <c r="MC10" s="201"/>
      <c r="MD10" s="201"/>
      <c r="ME10" s="201"/>
      <c r="MF10" s="201"/>
      <c r="MG10" s="201"/>
      <c r="MH10" s="201"/>
      <c r="MI10" s="201"/>
      <c r="MJ10" s="201"/>
      <c r="MK10" s="201"/>
      <c r="ML10" s="201"/>
      <c r="MM10" s="201"/>
      <c r="MN10" s="201"/>
      <c r="MO10" s="201"/>
      <c r="MP10" s="201"/>
      <c r="MQ10" s="201"/>
      <c r="MR10" s="201"/>
      <c r="MS10" s="201"/>
      <c r="MT10" s="201"/>
      <c r="MU10" s="201"/>
      <c r="MV10" s="201"/>
      <c r="MW10" s="201"/>
      <c r="MX10" s="201"/>
      <c r="MY10" s="201"/>
      <c r="MZ10" s="201"/>
      <c r="NA10" s="201"/>
      <c r="NB10" s="201"/>
      <c r="NC10" s="201"/>
      <c r="ND10" s="201"/>
      <c r="NE10" s="201"/>
      <c r="NF10" s="201"/>
      <c r="NG10" s="201"/>
      <c r="NH10" s="201"/>
      <c r="NI10" s="201"/>
      <c r="NJ10" s="201"/>
      <c r="NK10" s="201"/>
      <c r="NL10" s="201"/>
      <c r="NM10" s="201"/>
      <c r="NN10" s="201"/>
      <c r="NO10" s="201"/>
      <c r="NP10" s="201"/>
      <c r="NQ10" s="201"/>
      <c r="NR10" s="201"/>
      <c r="NS10" s="201"/>
      <c r="NT10" s="201"/>
      <c r="NU10" s="201"/>
      <c r="NV10" s="201"/>
      <c r="NW10" s="201"/>
      <c r="NX10" s="201"/>
      <c r="NY10" s="201"/>
      <c r="NZ10" s="201"/>
      <c r="OA10" s="201"/>
      <c r="OB10" s="201"/>
      <c r="OC10" s="201"/>
      <c r="OD10" s="201"/>
      <c r="OE10" s="201"/>
      <c r="OF10" s="201"/>
      <c r="OG10" s="201"/>
      <c r="OH10" s="201"/>
      <c r="OI10" s="201"/>
      <c r="OJ10" s="201"/>
      <c r="OK10" s="201"/>
      <c r="OL10" s="201"/>
      <c r="OM10" s="201"/>
      <c r="ON10" s="201"/>
      <c r="OO10" s="201"/>
      <c r="OP10" s="201"/>
      <c r="OQ10" s="201"/>
      <c r="OR10" s="201"/>
      <c r="OS10" s="201"/>
      <c r="OT10" s="201"/>
      <c r="OU10" s="201"/>
      <c r="OV10" s="201"/>
      <c r="OW10" s="201"/>
      <c r="OX10" s="201"/>
      <c r="OY10" s="201"/>
      <c r="OZ10" s="201"/>
      <c r="PA10" s="201"/>
      <c r="PB10" s="201"/>
      <c r="PC10" s="201"/>
      <c r="PD10" s="201"/>
      <c r="PE10" s="201"/>
      <c r="PF10" s="201"/>
      <c r="PG10" s="201"/>
      <c r="PH10" s="201"/>
      <c r="PI10" s="201"/>
      <c r="PJ10" s="201"/>
      <c r="PK10" s="201"/>
      <c r="PL10" s="201"/>
      <c r="PM10" s="201"/>
      <c r="PN10" s="201"/>
      <c r="PO10" s="201"/>
      <c r="PP10" s="201"/>
      <c r="PQ10" s="201"/>
      <c r="PR10" s="201"/>
      <c r="PS10" s="201"/>
      <c r="PT10" s="201"/>
      <c r="PU10" s="201"/>
      <c r="PV10" s="201"/>
      <c r="PW10" s="201"/>
      <c r="PX10" s="201"/>
      <c r="PY10" s="201"/>
      <c r="PZ10" s="201"/>
      <c r="QA10" s="201"/>
      <c r="QB10" s="201"/>
      <c r="QC10" s="201"/>
      <c r="QD10" s="201"/>
      <c r="QE10" s="201"/>
      <c r="QF10" s="201"/>
      <c r="QG10" s="201"/>
      <c r="QH10" s="201"/>
      <c r="QI10" s="201"/>
      <c r="QJ10" s="201"/>
      <c r="QK10" s="201"/>
      <c r="QL10" s="201"/>
      <c r="QM10" s="201"/>
      <c r="QN10" s="201"/>
      <c r="QO10" s="201"/>
      <c r="QP10" s="201"/>
      <c r="QQ10" s="201"/>
      <c r="QR10" s="201"/>
      <c r="QS10" s="201"/>
      <c r="QT10" s="201"/>
      <c r="QU10" s="201"/>
      <c r="QV10" s="201"/>
      <c r="QW10" s="201"/>
      <c r="QX10" s="201"/>
      <c r="QY10" s="201"/>
      <c r="QZ10" s="201"/>
      <c r="RA10" s="201"/>
      <c r="RB10" s="201"/>
      <c r="RC10" s="201"/>
      <c r="RD10" s="201"/>
      <c r="RE10" s="201"/>
      <c r="RF10" s="201"/>
      <c r="RG10" s="201"/>
      <c r="RH10" s="201"/>
      <c r="RI10" s="201"/>
      <c r="RJ10" s="201"/>
      <c r="RK10" s="201"/>
      <c r="RL10" s="201"/>
      <c r="RM10" s="201"/>
      <c r="RN10" s="201"/>
      <c r="RO10" s="201"/>
      <c r="RP10" s="201"/>
      <c r="RQ10" s="201"/>
      <c r="RR10" s="201"/>
      <c r="RS10" s="201"/>
      <c r="RT10" s="201"/>
      <c r="RU10" s="201"/>
      <c r="RV10" s="201"/>
      <c r="RW10" s="201"/>
      <c r="RX10" s="201"/>
      <c r="RY10" s="201"/>
      <c r="RZ10" s="201"/>
      <c r="SA10" s="201"/>
      <c r="SB10" s="201"/>
      <c r="SC10" s="201"/>
      <c r="SD10" s="201"/>
      <c r="SE10" s="201"/>
      <c r="SF10" s="201"/>
      <c r="SG10" s="201"/>
      <c r="SH10" s="201"/>
      <c r="SI10" s="201"/>
      <c r="SJ10" s="201"/>
      <c r="SK10" s="201"/>
      <c r="SL10" s="201"/>
      <c r="SM10" s="201"/>
      <c r="SN10" s="201"/>
      <c r="SO10" s="201"/>
      <c r="SP10" s="201"/>
      <c r="SQ10" s="201"/>
      <c r="SR10" s="201"/>
      <c r="SS10" s="201"/>
      <c r="ST10" s="201"/>
      <c r="SU10" s="201"/>
      <c r="SV10" s="201"/>
      <c r="SW10" s="201"/>
      <c r="SX10" s="201"/>
      <c r="SY10" s="201"/>
      <c r="SZ10" s="201"/>
      <c r="TA10" s="201"/>
      <c r="TB10" s="201"/>
      <c r="TC10" s="201"/>
      <c r="TD10" s="201"/>
      <c r="TE10" s="201"/>
      <c r="TF10" s="201"/>
      <c r="TG10" s="201"/>
      <c r="TH10" s="201"/>
      <c r="TI10" s="201"/>
      <c r="TJ10" s="201"/>
      <c r="TK10" s="201"/>
      <c r="TL10" s="201"/>
      <c r="TM10" s="201"/>
      <c r="TN10" s="201"/>
      <c r="TO10" s="201"/>
      <c r="TP10" s="201"/>
      <c r="TQ10" s="201"/>
      <c r="TR10" s="201"/>
      <c r="TS10" s="201"/>
      <c r="TT10" s="201"/>
      <c r="TU10" s="201"/>
      <c r="TV10" s="201"/>
      <c r="TW10" s="201"/>
      <c r="TX10" s="201"/>
      <c r="TY10" s="201"/>
      <c r="TZ10" s="201"/>
      <c r="UA10" s="201"/>
      <c r="UB10" s="201"/>
      <c r="UC10" s="201"/>
      <c r="UD10" s="201"/>
      <c r="UE10" s="201"/>
      <c r="UF10" s="201"/>
      <c r="UG10" s="201"/>
      <c r="UH10" s="201"/>
      <c r="UI10" s="201"/>
      <c r="UJ10" s="201"/>
      <c r="UK10" s="201"/>
      <c r="UL10" s="201"/>
      <c r="UM10" s="201"/>
      <c r="UN10" s="201"/>
      <c r="UO10" s="201"/>
      <c r="UP10" s="201"/>
      <c r="UQ10" s="201"/>
      <c r="UR10" s="201"/>
      <c r="US10" s="201"/>
      <c r="UT10" s="201"/>
      <c r="UU10" s="201"/>
      <c r="UV10" s="201"/>
      <c r="UW10" s="201"/>
      <c r="UX10" s="201"/>
      <c r="UY10" s="201"/>
      <c r="UZ10" s="201"/>
      <c r="VA10" s="201"/>
      <c r="VB10" s="201"/>
      <c r="VC10" s="201"/>
      <c r="VD10" s="201"/>
      <c r="VE10" s="201"/>
      <c r="VF10" s="201"/>
      <c r="VG10" s="201"/>
      <c r="VH10" s="201"/>
      <c r="VI10" s="201"/>
      <c r="VJ10" s="201"/>
      <c r="VK10" s="201"/>
      <c r="VL10" s="201"/>
      <c r="VM10" s="201"/>
      <c r="VN10" s="201"/>
      <c r="VO10" s="201"/>
      <c r="VP10" s="201"/>
      <c r="VQ10" s="201"/>
      <c r="VR10" s="201"/>
      <c r="VS10" s="201"/>
      <c r="VT10" s="201"/>
      <c r="VU10" s="201"/>
      <c r="VV10" s="201"/>
      <c r="VW10" s="201"/>
      <c r="VX10" s="201"/>
      <c r="VY10" s="201"/>
      <c r="VZ10" s="201"/>
      <c r="WA10" s="201"/>
      <c r="WB10" s="201"/>
      <c r="WC10" s="201"/>
      <c r="WD10" s="201"/>
      <c r="WE10" s="201"/>
      <c r="WF10" s="201"/>
      <c r="WG10" s="201"/>
      <c r="WH10" s="201"/>
      <c r="WI10" s="201"/>
      <c r="WJ10" s="201"/>
      <c r="WK10" s="201"/>
      <c r="WL10" s="201"/>
      <c r="WM10" s="201"/>
      <c r="WN10" s="201"/>
      <c r="WO10" s="201"/>
      <c r="WP10" s="201"/>
      <c r="WQ10" s="201"/>
      <c r="WR10" s="201"/>
      <c r="WS10" s="201"/>
      <c r="WT10" s="201"/>
      <c r="WU10" s="201"/>
      <c r="WV10" s="201"/>
      <c r="WW10" s="201"/>
      <c r="WX10" s="201"/>
      <c r="WY10" s="201"/>
      <c r="WZ10" s="201"/>
      <c r="XA10" s="201"/>
      <c r="XB10" s="201"/>
      <c r="XC10" s="201"/>
      <c r="XD10" s="201"/>
      <c r="XE10" s="201"/>
      <c r="XF10" s="201"/>
      <c r="XG10" s="201"/>
      <c r="XH10" s="201"/>
      <c r="XI10" s="201"/>
      <c r="XJ10" s="201"/>
      <c r="XK10" s="201"/>
      <c r="XL10" s="201"/>
      <c r="XM10" s="201"/>
      <c r="XN10" s="201"/>
      <c r="XO10" s="201"/>
      <c r="XP10" s="201"/>
      <c r="XQ10" s="201"/>
      <c r="XR10" s="201"/>
      <c r="XS10" s="201"/>
      <c r="XT10" s="201"/>
      <c r="XU10" s="201"/>
      <c r="XV10" s="201"/>
      <c r="XW10" s="201"/>
      <c r="XX10" s="201"/>
      <c r="XY10" s="201"/>
      <c r="XZ10" s="201"/>
      <c r="YA10" s="201"/>
      <c r="YB10" s="201"/>
      <c r="YC10" s="201"/>
      <c r="YD10" s="201"/>
      <c r="YE10" s="201"/>
      <c r="YF10" s="201"/>
      <c r="YG10" s="201"/>
      <c r="YH10" s="201"/>
      <c r="YI10" s="201"/>
      <c r="YJ10" s="201"/>
      <c r="YK10" s="201"/>
      <c r="YL10" s="201"/>
      <c r="YM10" s="201"/>
      <c r="YN10" s="201"/>
      <c r="YO10" s="201"/>
      <c r="YP10" s="201"/>
      <c r="YQ10" s="201"/>
      <c r="YR10" s="201"/>
      <c r="YS10" s="201"/>
      <c r="YT10" s="201"/>
      <c r="YU10" s="201"/>
      <c r="YV10" s="201"/>
      <c r="YW10" s="201"/>
      <c r="YX10" s="201"/>
      <c r="YY10" s="201"/>
      <c r="YZ10" s="201"/>
      <c r="ZA10" s="201"/>
      <c r="ZB10" s="201"/>
      <c r="ZC10" s="201"/>
      <c r="ZD10" s="201"/>
      <c r="ZE10" s="201"/>
      <c r="ZF10" s="201"/>
      <c r="ZG10" s="201"/>
      <c r="ZH10" s="201"/>
      <c r="ZI10" s="201"/>
      <c r="ZJ10" s="201"/>
      <c r="ZK10" s="201"/>
      <c r="ZL10" s="201"/>
      <c r="ZM10" s="201"/>
      <c r="ZN10" s="201"/>
      <c r="ZO10" s="201"/>
      <c r="ZP10" s="201"/>
      <c r="ZQ10" s="201"/>
      <c r="ZR10" s="201"/>
      <c r="ZS10" s="201"/>
      <c r="ZT10" s="201"/>
      <c r="ZU10" s="201"/>
      <c r="ZV10" s="201"/>
      <c r="ZW10" s="201"/>
      <c r="ZX10" s="201"/>
      <c r="ZY10" s="201"/>
      <c r="ZZ10" s="201"/>
      <c r="AAA10" s="201"/>
      <c r="AAB10" s="201"/>
      <c r="AAC10" s="201"/>
      <c r="AAD10" s="201"/>
      <c r="AAE10" s="201"/>
      <c r="AAF10" s="201"/>
      <c r="AAG10" s="201"/>
      <c r="AAH10" s="201"/>
      <c r="AAI10" s="201"/>
      <c r="AAJ10" s="201"/>
      <c r="AAK10" s="201"/>
      <c r="AAL10" s="201"/>
      <c r="AAM10" s="201"/>
      <c r="AAN10" s="201"/>
      <c r="AAO10" s="201"/>
      <c r="AAP10" s="201"/>
      <c r="AAQ10" s="201"/>
      <c r="AAR10" s="201"/>
      <c r="AAS10" s="201"/>
      <c r="AAT10" s="201"/>
      <c r="AAU10" s="201"/>
      <c r="AAV10" s="201"/>
      <c r="AAW10" s="201"/>
      <c r="AAX10" s="201"/>
      <c r="AAY10" s="201"/>
      <c r="AAZ10" s="201"/>
      <c r="ABA10" s="201"/>
      <c r="ABB10" s="201"/>
      <c r="ABC10" s="201"/>
      <c r="ABD10" s="201"/>
      <c r="ABE10" s="201"/>
      <c r="ABF10" s="201"/>
      <c r="ABG10" s="201"/>
      <c r="ABH10" s="201"/>
      <c r="ABI10" s="201"/>
      <c r="ABJ10" s="201"/>
      <c r="ABK10" s="201"/>
      <c r="ABL10" s="201"/>
      <c r="ABM10" s="201"/>
      <c r="ABN10" s="201"/>
      <c r="ABO10" s="201"/>
      <c r="ABP10" s="201"/>
      <c r="ABQ10" s="201"/>
      <c r="ABR10" s="201"/>
      <c r="ABS10" s="201"/>
      <c r="ABT10" s="201"/>
      <c r="ABU10" s="201"/>
      <c r="ABV10" s="201"/>
      <c r="ABW10" s="201"/>
      <c r="ABX10" s="201"/>
      <c r="ABY10" s="201"/>
      <c r="ABZ10" s="201"/>
      <c r="ACA10" s="201"/>
      <c r="ACB10" s="201"/>
      <c r="ACC10" s="201"/>
      <c r="ACD10" s="201"/>
      <c r="ACE10" s="201"/>
      <c r="ACF10" s="201"/>
      <c r="ACG10" s="201"/>
      <c r="ACH10" s="201"/>
      <c r="ACI10" s="201"/>
      <c r="ACJ10" s="201"/>
      <c r="ACK10" s="201"/>
      <c r="ACL10" s="201"/>
      <c r="ACM10" s="201"/>
      <c r="ACN10" s="201"/>
      <c r="ACO10" s="201"/>
      <c r="ACP10" s="201"/>
      <c r="ACQ10" s="201"/>
      <c r="ACR10" s="201"/>
      <c r="ACS10" s="201"/>
      <c r="ACT10" s="201"/>
      <c r="ACU10" s="201"/>
      <c r="ACV10" s="201"/>
      <c r="ACW10" s="201"/>
      <c r="ACX10" s="201"/>
      <c r="ACY10" s="201"/>
      <c r="ACZ10" s="201"/>
      <c r="ADA10" s="201"/>
      <c r="ADB10" s="201"/>
      <c r="ADC10" s="201"/>
      <c r="ADD10" s="201"/>
      <c r="ADE10" s="201"/>
      <c r="ADF10" s="201"/>
      <c r="ADG10" s="201"/>
      <c r="ADH10" s="201"/>
      <c r="ADI10" s="201"/>
      <c r="ADJ10" s="201"/>
      <c r="ADK10" s="201"/>
      <c r="ADL10" s="201"/>
      <c r="ADM10" s="201"/>
      <c r="ADN10" s="201"/>
      <c r="ADO10" s="201"/>
      <c r="ADP10" s="201"/>
      <c r="ADQ10" s="201"/>
      <c r="ADR10" s="201"/>
      <c r="ADS10" s="201"/>
      <c r="ADT10" s="201"/>
      <c r="ADU10" s="201"/>
      <c r="ADV10" s="201"/>
      <c r="ADW10" s="201"/>
      <c r="ADX10" s="201"/>
      <c r="ADY10" s="201"/>
      <c r="ADZ10" s="201"/>
      <c r="AEA10" s="201"/>
      <c r="AEB10" s="201"/>
      <c r="AEC10" s="201"/>
      <c r="AED10" s="201"/>
      <c r="AEE10" s="201"/>
      <c r="AEF10" s="201"/>
      <c r="AEG10" s="201"/>
      <c r="AEH10" s="201"/>
      <c r="AEI10" s="201"/>
      <c r="AEJ10" s="201"/>
      <c r="AEK10" s="201"/>
      <c r="AEL10" s="201"/>
      <c r="AEM10" s="201"/>
      <c r="AEN10" s="201"/>
      <c r="AEO10" s="201"/>
      <c r="AEP10" s="201"/>
      <c r="AEQ10" s="201"/>
      <c r="AER10" s="201"/>
      <c r="AES10" s="201"/>
      <c r="AET10" s="201"/>
      <c r="AEU10" s="201"/>
      <c r="AEV10" s="201"/>
      <c r="AEW10" s="201"/>
      <c r="AEX10" s="201"/>
      <c r="AEY10" s="201"/>
      <c r="AEZ10" s="201"/>
      <c r="AFA10" s="201"/>
      <c r="AFB10" s="201"/>
      <c r="AFC10" s="201"/>
      <c r="AFD10" s="201"/>
      <c r="AFE10" s="201"/>
      <c r="AFF10" s="201"/>
      <c r="AFG10" s="201"/>
      <c r="AFH10" s="201"/>
      <c r="AFI10" s="201"/>
      <c r="AFJ10" s="201"/>
      <c r="AFK10" s="201"/>
      <c r="AFL10" s="201"/>
      <c r="AFM10" s="201"/>
      <c r="AFN10" s="90"/>
    </row>
    <row r="11" spans="1:846" ht="20.100000000000001" customHeight="1" x14ac:dyDescent="0.25">
      <c r="B11" s="96"/>
      <c r="C11" s="229"/>
      <c r="D11" s="229"/>
      <c r="E11" s="229"/>
      <c r="F11" s="225" t="s">
        <v>61</v>
      </c>
      <c r="G11" s="225"/>
      <c r="H11" s="225"/>
      <c r="I11" s="225"/>
      <c r="J11" s="225"/>
      <c r="K11" s="225"/>
      <c r="L11" s="225"/>
      <c r="M11" s="225"/>
      <c r="N11" s="225"/>
      <c r="O11" s="225"/>
      <c r="P11" s="225"/>
      <c r="Q11" s="225"/>
      <c r="R11" s="225"/>
      <c r="S11" s="225"/>
      <c r="T11" s="225"/>
      <c r="U11" s="225"/>
      <c r="V11" s="225"/>
      <c r="W11" s="225"/>
      <c r="X11" s="225"/>
      <c r="Y11" s="225"/>
      <c r="Z11" s="225"/>
      <c r="AA11" s="225"/>
      <c r="AB11" s="225"/>
      <c r="AC11" s="225"/>
      <c r="AD11" s="225"/>
      <c r="AE11" s="225"/>
      <c r="AF11" s="225"/>
      <c r="AG11" s="225"/>
      <c r="AH11" s="225"/>
      <c r="AI11" s="225"/>
      <c r="AJ11" s="225"/>
      <c r="AK11" s="225"/>
      <c r="AL11" s="225"/>
      <c r="AM11" s="225"/>
      <c r="AN11" s="225"/>
      <c r="AO11" s="225"/>
      <c r="AP11" s="225"/>
      <c r="AQ11" s="225"/>
      <c r="AR11" s="225"/>
      <c r="AS11" s="225"/>
      <c r="AT11" s="225"/>
      <c r="AU11" s="225"/>
      <c r="AV11" s="225"/>
      <c r="AW11" s="225"/>
      <c r="AX11" s="225"/>
      <c r="AY11" s="225"/>
      <c r="AZ11" s="225"/>
      <c r="BA11" s="225"/>
      <c r="BB11" s="225"/>
      <c r="BC11" s="225"/>
      <c r="BD11" s="225"/>
      <c r="BE11" s="225"/>
      <c r="BF11" s="225"/>
      <c r="BG11" s="225"/>
      <c r="BH11" s="225"/>
      <c r="BI11" s="225"/>
      <c r="BJ11" s="225"/>
      <c r="BK11" s="225"/>
      <c r="BL11" s="225"/>
      <c r="BM11" s="225"/>
      <c r="BN11" s="225" t="s">
        <v>61</v>
      </c>
      <c r="BO11" s="225"/>
      <c r="BP11" s="225"/>
      <c r="BQ11" s="225"/>
      <c r="BR11" s="225"/>
      <c r="BS11" s="225"/>
      <c r="BT11" s="225"/>
      <c r="BU11" s="225"/>
      <c r="BV11" s="225"/>
      <c r="BW11" s="225"/>
      <c r="BX11" s="225"/>
      <c r="BY11" s="225"/>
      <c r="BZ11" s="225"/>
      <c r="CA11" s="225"/>
      <c r="CB11" s="225"/>
      <c r="CC11" s="225"/>
      <c r="CD11" s="225"/>
      <c r="CE11" s="225"/>
      <c r="CF11" s="225"/>
      <c r="CG11" s="225"/>
      <c r="CH11" s="225"/>
      <c r="CI11" s="225"/>
      <c r="CJ11" s="225"/>
      <c r="CK11" s="225"/>
      <c r="CL11" s="225"/>
      <c r="CM11" s="225"/>
      <c r="CN11" s="225"/>
      <c r="CO11" s="225"/>
      <c r="CP11" s="225"/>
      <c r="CQ11" s="225"/>
      <c r="CR11" s="225"/>
      <c r="CS11" s="225"/>
      <c r="CT11" s="225"/>
      <c r="CU11" s="225"/>
      <c r="CV11" s="225"/>
      <c r="CW11" s="225"/>
      <c r="CX11" s="225"/>
      <c r="CY11" s="225"/>
      <c r="CZ11" s="225"/>
      <c r="DA11" s="225"/>
      <c r="DB11" s="225"/>
      <c r="DC11" s="225"/>
      <c r="DD11" s="225"/>
      <c r="DE11" s="225"/>
      <c r="DF11" s="225"/>
      <c r="DG11" s="225"/>
      <c r="DH11" s="225"/>
      <c r="DI11" s="225"/>
      <c r="DJ11" s="225"/>
      <c r="DK11" s="225"/>
      <c r="DL11" s="225"/>
      <c r="DM11" s="225"/>
      <c r="DN11" s="225"/>
      <c r="DO11" s="225"/>
      <c r="DP11" s="225"/>
      <c r="DQ11" s="225"/>
      <c r="DR11" s="225"/>
      <c r="DS11" s="225"/>
      <c r="DT11" s="225"/>
      <c r="DU11" s="225"/>
      <c r="DV11" s="202" t="s">
        <v>62</v>
      </c>
      <c r="DW11" s="202"/>
      <c r="DX11" s="202"/>
      <c r="DY11" s="202"/>
      <c r="DZ11" s="202"/>
      <c r="EA11" s="202"/>
      <c r="EB11" s="202"/>
      <c r="EC11" s="202"/>
      <c r="ED11" s="202"/>
      <c r="EE11" s="202"/>
      <c r="EF11" s="202"/>
      <c r="EG11" s="202"/>
      <c r="EH11" s="202"/>
      <c r="EI11" s="202"/>
      <c r="EJ11" s="202"/>
      <c r="EK11" s="202"/>
      <c r="EL11" s="202"/>
      <c r="EM11" s="202"/>
      <c r="EN11" s="202"/>
      <c r="EO11" s="202"/>
      <c r="EP11" s="202"/>
      <c r="EQ11" s="202"/>
      <c r="ER11" s="202"/>
      <c r="ES11" s="202"/>
      <c r="ET11" s="202"/>
      <c r="EU11" s="202"/>
      <c r="EV11" s="202"/>
      <c r="EW11" s="202"/>
      <c r="EX11" s="202"/>
      <c r="EY11" s="202"/>
      <c r="EZ11" s="202"/>
      <c r="FA11" s="202"/>
      <c r="FB11" s="202"/>
      <c r="FC11" s="202"/>
      <c r="FD11" s="202"/>
      <c r="FE11" s="202"/>
      <c r="FF11" s="202"/>
      <c r="FG11" s="202"/>
      <c r="FH11" s="202"/>
      <c r="FI11" s="202"/>
      <c r="FJ11" s="202"/>
      <c r="FK11" s="202"/>
      <c r="FL11" s="202"/>
      <c r="FM11" s="202"/>
      <c r="FN11" s="202"/>
      <c r="FO11" s="202"/>
      <c r="FP11" s="202"/>
      <c r="FQ11" s="202"/>
      <c r="FR11" s="202"/>
      <c r="FS11" s="202"/>
      <c r="FT11" s="202"/>
      <c r="FU11" s="202"/>
      <c r="FV11" s="202"/>
      <c r="FW11" s="202"/>
      <c r="FX11" s="202"/>
      <c r="FY11" s="202"/>
      <c r="FZ11" s="202"/>
      <c r="GA11" s="202"/>
      <c r="GB11" s="202"/>
      <c r="GC11" s="202"/>
      <c r="GD11" s="202" t="s">
        <v>63</v>
      </c>
      <c r="GE11" s="202"/>
      <c r="GF11" s="202"/>
      <c r="GG11" s="202"/>
      <c r="GH11" s="202"/>
      <c r="GI11" s="202"/>
      <c r="GJ11" s="202"/>
      <c r="GK11" s="202"/>
      <c r="GL11" s="202"/>
      <c r="GM11" s="202"/>
      <c r="GN11" s="202"/>
      <c r="GO11" s="202"/>
      <c r="GP11" s="202"/>
      <c r="GQ11" s="202"/>
      <c r="GR11" s="202"/>
      <c r="GS11" s="202"/>
      <c r="GT11" s="202"/>
      <c r="GU11" s="202"/>
      <c r="GV11" s="202"/>
      <c r="GW11" s="202"/>
      <c r="GX11" s="202"/>
      <c r="GY11" s="202"/>
      <c r="GZ11" s="202"/>
      <c r="HA11" s="202"/>
      <c r="HB11" s="202"/>
      <c r="HC11" s="202"/>
      <c r="HD11" s="202"/>
      <c r="HE11" s="202"/>
      <c r="HF11" s="202"/>
      <c r="HG11" s="202"/>
      <c r="HH11" s="202"/>
      <c r="HI11" s="202"/>
      <c r="HJ11" s="202"/>
      <c r="HK11" s="202"/>
      <c r="HL11" s="202"/>
      <c r="HM11" s="202"/>
      <c r="HN11" s="202"/>
      <c r="HO11" s="202"/>
      <c r="HP11" s="202"/>
      <c r="HQ11" s="202"/>
      <c r="HR11" s="202"/>
      <c r="HS11" s="202"/>
      <c r="HT11" s="202"/>
      <c r="HU11" s="202"/>
      <c r="HV11" s="202"/>
      <c r="HW11" s="202"/>
      <c r="HX11" s="202"/>
      <c r="HY11" s="202"/>
      <c r="HZ11" s="202"/>
      <c r="IA11" s="202"/>
      <c r="IB11" s="202"/>
      <c r="IC11" s="202"/>
      <c r="ID11" s="202"/>
      <c r="IE11" s="202"/>
      <c r="IF11" s="202"/>
      <c r="IG11" s="202"/>
      <c r="IH11" s="202"/>
      <c r="II11" s="202"/>
      <c r="IJ11" s="202"/>
      <c r="IK11" s="202"/>
      <c r="IL11" s="202" t="s">
        <v>63</v>
      </c>
      <c r="IM11" s="202"/>
      <c r="IN11" s="202"/>
      <c r="IO11" s="202"/>
      <c r="IP11" s="202"/>
      <c r="IQ11" s="202"/>
      <c r="IR11" s="202"/>
      <c r="IS11" s="202"/>
      <c r="IT11" s="202"/>
      <c r="IU11" s="202"/>
      <c r="IV11" s="202"/>
      <c r="IW11" s="202"/>
      <c r="IX11" s="202"/>
      <c r="IY11" s="202"/>
      <c r="IZ11" s="202"/>
      <c r="JA11" s="202"/>
      <c r="JB11" s="202"/>
      <c r="JC11" s="202"/>
      <c r="JD11" s="202"/>
      <c r="JE11" s="202"/>
      <c r="JF11" s="202"/>
      <c r="JG11" s="202"/>
      <c r="JH11" s="202"/>
      <c r="JI11" s="202"/>
      <c r="JJ11" s="202"/>
      <c r="JK11" s="202"/>
      <c r="JL11" s="202"/>
      <c r="JM11" s="202"/>
      <c r="JN11" s="202"/>
      <c r="JO11" s="202"/>
      <c r="JP11" s="202"/>
      <c r="JQ11" s="202"/>
      <c r="JR11" s="202"/>
      <c r="JS11" s="202"/>
      <c r="JT11" s="202"/>
      <c r="JU11" s="202"/>
      <c r="JV11" s="202"/>
      <c r="JW11" s="202"/>
      <c r="JX11" s="202"/>
      <c r="JY11" s="202"/>
      <c r="JZ11" s="202"/>
      <c r="KA11" s="202"/>
      <c r="KB11" s="202"/>
      <c r="KC11" s="202"/>
      <c r="KD11" s="202"/>
      <c r="KE11" s="202"/>
      <c r="KF11" s="202"/>
      <c r="KG11" s="202"/>
      <c r="KH11" s="202"/>
      <c r="KI11" s="202"/>
      <c r="KJ11" s="202"/>
      <c r="KK11" s="202"/>
      <c r="KL11" s="202"/>
      <c r="KM11" s="202"/>
      <c r="KN11" s="202"/>
      <c r="KO11" s="202"/>
      <c r="KP11" s="202"/>
      <c r="KQ11" s="202"/>
      <c r="KR11" s="202"/>
      <c r="KS11" s="202"/>
      <c r="KT11" s="202" t="s">
        <v>64</v>
      </c>
      <c r="KU11" s="202"/>
      <c r="KV11" s="202"/>
      <c r="KW11" s="202"/>
      <c r="KX11" s="202"/>
      <c r="KY11" s="202"/>
      <c r="KZ11" s="202"/>
      <c r="LA11" s="202"/>
      <c r="LB11" s="202"/>
      <c r="LC11" s="202"/>
      <c r="LD11" s="202"/>
      <c r="LE11" s="202"/>
      <c r="LF11" s="202"/>
      <c r="LG11" s="202"/>
      <c r="LH11" s="202"/>
      <c r="LI11" s="202"/>
      <c r="LJ11" s="202"/>
      <c r="LK11" s="202"/>
      <c r="LL11" s="202"/>
      <c r="LM11" s="202"/>
      <c r="LN11" s="202"/>
      <c r="LO11" s="202"/>
      <c r="LP11" s="202"/>
      <c r="LQ11" s="202"/>
      <c r="LR11" s="202"/>
      <c r="LS11" s="202"/>
      <c r="LT11" s="202"/>
      <c r="LU11" s="202"/>
      <c r="LV11" s="202"/>
      <c r="LW11" s="202"/>
      <c r="LX11" s="202"/>
      <c r="LY11" s="202"/>
      <c r="LZ11" s="202"/>
      <c r="MA11" s="202"/>
      <c r="MB11" s="202"/>
      <c r="MC11" s="202"/>
      <c r="MD11" s="202"/>
      <c r="ME11" s="202"/>
      <c r="MF11" s="202"/>
      <c r="MG11" s="202"/>
      <c r="MH11" s="202"/>
      <c r="MI11" s="202"/>
      <c r="MJ11" s="202"/>
      <c r="MK11" s="202"/>
      <c r="ML11" s="202"/>
      <c r="MM11" s="202"/>
      <c r="MN11" s="202"/>
      <c r="MO11" s="202"/>
      <c r="MP11" s="202"/>
      <c r="MQ11" s="202"/>
      <c r="MR11" s="202"/>
      <c r="MS11" s="202"/>
      <c r="MT11" s="202"/>
      <c r="MU11" s="202"/>
      <c r="MV11" s="202"/>
      <c r="MW11" s="202"/>
      <c r="MX11" s="202"/>
      <c r="MY11" s="202"/>
      <c r="MZ11" s="202"/>
      <c r="NA11" s="202"/>
      <c r="NB11" s="202" t="s">
        <v>64</v>
      </c>
      <c r="NC11" s="202"/>
      <c r="ND11" s="202"/>
      <c r="NE11" s="202"/>
      <c r="NF11" s="202"/>
      <c r="NG11" s="202"/>
      <c r="NH11" s="202"/>
      <c r="NI11" s="202"/>
      <c r="NJ11" s="202"/>
      <c r="NK11" s="202"/>
      <c r="NL11" s="202"/>
      <c r="NM11" s="202"/>
      <c r="NN11" s="202"/>
      <c r="NO11" s="202"/>
      <c r="NP11" s="202"/>
      <c r="NQ11" s="202"/>
      <c r="NR11" s="202"/>
      <c r="NS11" s="202"/>
      <c r="NT11" s="202"/>
      <c r="NU11" s="202"/>
      <c r="NV11" s="202"/>
      <c r="NW11" s="202"/>
      <c r="NX11" s="202"/>
      <c r="NY11" s="202"/>
      <c r="NZ11" s="202"/>
      <c r="OA11" s="202"/>
      <c r="OB11" s="202"/>
      <c r="OC11" s="202"/>
      <c r="OD11" s="202"/>
      <c r="OE11" s="202"/>
      <c r="OF11" s="202"/>
      <c r="OG11" s="202"/>
      <c r="OH11" s="202"/>
      <c r="OI11" s="202"/>
      <c r="OJ11" s="202"/>
      <c r="OK11" s="202"/>
      <c r="OL11" s="202"/>
      <c r="OM11" s="202"/>
      <c r="ON11" s="202"/>
      <c r="OO11" s="202"/>
      <c r="OP11" s="202"/>
      <c r="OQ11" s="202"/>
      <c r="OR11" s="202"/>
      <c r="OS11" s="202"/>
      <c r="OT11" s="202"/>
      <c r="OU11" s="202"/>
      <c r="OV11" s="202"/>
      <c r="OW11" s="202"/>
      <c r="OX11" s="202"/>
      <c r="OY11" s="202"/>
      <c r="OZ11" s="202"/>
      <c r="PA11" s="202"/>
      <c r="PB11" s="202"/>
      <c r="PC11" s="202"/>
      <c r="PD11" s="202"/>
      <c r="PE11" s="202"/>
      <c r="PF11" s="202"/>
      <c r="PG11" s="202"/>
      <c r="PH11" s="202"/>
      <c r="PI11" s="202"/>
      <c r="PJ11" s="202" t="s">
        <v>81</v>
      </c>
      <c r="PK11" s="202"/>
      <c r="PL11" s="202"/>
      <c r="PM11" s="202"/>
      <c r="PN11" s="202"/>
      <c r="PO11" s="202"/>
      <c r="PP11" s="202"/>
      <c r="PQ11" s="202"/>
      <c r="PR11" s="202"/>
      <c r="PS11" s="202"/>
      <c r="PT11" s="202"/>
      <c r="PU11" s="202"/>
      <c r="PV11" s="202"/>
      <c r="PW11" s="202"/>
      <c r="PX11" s="202"/>
      <c r="PY11" s="202"/>
      <c r="PZ11" s="202"/>
      <c r="QA11" s="202"/>
      <c r="QB11" s="202"/>
      <c r="QC11" s="202"/>
      <c r="QD11" s="202"/>
      <c r="QE11" s="202"/>
      <c r="QF11" s="202"/>
      <c r="QG11" s="202"/>
      <c r="QH11" s="202"/>
      <c r="QI11" s="202"/>
      <c r="QJ11" s="202"/>
      <c r="QK11" s="202"/>
      <c r="QL11" s="202"/>
      <c r="QM11" s="202"/>
      <c r="QN11" s="202"/>
      <c r="QO11" s="202"/>
      <c r="QP11" s="202"/>
      <c r="QQ11" s="202"/>
      <c r="QR11" s="202"/>
      <c r="QS11" s="202"/>
      <c r="QT11" s="202"/>
      <c r="QU11" s="202"/>
      <c r="QV11" s="202"/>
      <c r="QW11" s="202"/>
      <c r="QX11" s="202"/>
      <c r="QY11" s="202"/>
      <c r="QZ11" s="202"/>
      <c r="RA11" s="202"/>
      <c r="RB11" s="202"/>
      <c r="RC11" s="202"/>
      <c r="RD11" s="202"/>
      <c r="RE11" s="202"/>
      <c r="RF11" s="202"/>
      <c r="RG11" s="202"/>
      <c r="RH11" s="202"/>
      <c r="RI11" s="202"/>
      <c r="RJ11" s="202"/>
      <c r="RK11" s="202"/>
      <c r="RL11" s="202"/>
      <c r="RM11" s="202"/>
      <c r="RN11" s="202"/>
      <c r="RO11" s="202"/>
      <c r="RP11" s="202"/>
      <c r="RQ11" s="202"/>
      <c r="RR11" s="202" t="s">
        <v>83</v>
      </c>
      <c r="RS11" s="202"/>
      <c r="RT11" s="202"/>
      <c r="RU11" s="202"/>
      <c r="RV11" s="202"/>
      <c r="RW11" s="202"/>
      <c r="RX11" s="202"/>
      <c r="RY11" s="202"/>
      <c r="RZ11" s="202"/>
      <c r="SA11" s="202"/>
      <c r="SB11" s="202"/>
      <c r="SC11" s="202"/>
      <c r="SD11" s="202"/>
      <c r="SE11" s="202"/>
      <c r="SF11" s="202"/>
      <c r="SG11" s="202"/>
      <c r="SH11" s="202"/>
      <c r="SI11" s="202"/>
      <c r="SJ11" s="202"/>
      <c r="SK11" s="202"/>
      <c r="SL11" s="202"/>
      <c r="SM11" s="202"/>
      <c r="SN11" s="202"/>
      <c r="SO11" s="202"/>
      <c r="SP11" s="202"/>
      <c r="SQ11" s="202"/>
      <c r="SR11" s="202"/>
      <c r="SS11" s="202"/>
      <c r="ST11" s="202"/>
      <c r="SU11" s="202"/>
      <c r="SV11" s="202"/>
      <c r="SW11" s="202"/>
      <c r="SX11" s="202"/>
      <c r="SY11" s="202"/>
      <c r="SZ11" s="202"/>
      <c r="TA11" s="202"/>
      <c r="TB11" s="202"/>
      <c r="TC11" s="202"/>
      <c r="TD11" s="202"/>
      <c r="TE11" s="202"/>
      <c r="TF11" s="202"/>
      <c r="TG11" s="202"/>
      <c r="TH11" s="202"/>
      <c r="TI11" s="202"/>
      <c r="TJ11" s="202"/>
      <c r="TK11" s="202"/>
      <c r="TL11" s="202"/>
      <c r="TM11" s="202"/>
      <c r="TN11" s="202"/>
      <c r="TO11" s="202"/>
      <c r="TP11" s="202"/>
      <c r="TQ11" s="202"/>
      <c r="TR11" s="202"/>
      <c r="TS11" s="202"/>
      <c r="TT11" s="202"/>
      <c r="TU11" s="202"/>
      <c r="TV11" s="202"/>
      <c r="TW11" s="202"/>
      <c r="TX11" s="202"/>
      <c r="TY11" s="202"/>
      <c r="TZ11" s="202" t="s">
        <v>83</v>
      </c>
      <c r="UA11" s="202"/>
      <c r="UB11" s="202"/>
      <c r="UC11" s="202"/>
      <c r="UD11" s="202"/>
      <c r="UE11" s="202"/>
      <c r="UF11" s="202"/>
      <c r="UG11" s="202"/>
      <c r="UH11" s="202"/>
      <c r="UI11" s="202"/>
      <c r="UJ11" s="202"/>
      <c r="UK11" s="202"/>
      <c r="UL11" s="202"/>
      <c r="UM11" s="202"/>
      <c r="UN11" s="202"/>
      <c r="UO11" s="202"/>
      <c r="UP11" s="202"/>
      <c r="UQ11" s="202"/>
      <c r="UR11" s="202"/>
      <c r="US11" s="202"/>
      <c r="UT11" s="202"/>
      <c r="UU11" s="202"/>
      <c r="UV11" s="202"/>
      <c r="UW11" s="202"/>
      <c r="UX11" s="202"/>
      <c r="UY11" s="202"/>
      <c r="UZ11" s="202"/>
      <c r="VA11" s="202"/>
      <c r="VB11" s="202"/>
      <c r="VC11" s="202"/>
      <c r="VD11" s="202"/>
      <c r="VE11" s="202"/>
      <c r="VF11" s="202"/>
      <c r="VG11" s="202"/>
      <c r="VH11" s="202"/>
      <c r="VI11" s="202"/>
      <c r="VJ11" s="202"/>
      <c r="VK11" s="202"/>
      <c r="VL11" s="202"/>
      <c r="VM11" s="202"/>
      <c r="VN11" s="202"/>
      <c r="VO11" s="202"/>
      <c r="VP11" s="202"/>
      <c r="VQ11" s="202"/>
      <c r="VR11" s="202"/>
      <c r="VS11" s="202"/>
      <c r="VT11" s="202"/>
      <c r="VU11" s="202"/>
      <c r="VV11" s="202"/>
      <c r="VW11" s="202"/>
      <c r="VX11" s="202"/>
      <c r="VY11" s="202"/>
      <c r="VZ11" s="202"/>
      <c r="WA11" s="202"/>
      <c r="WB11" s="202"/>
      <c r="WC11" s="202"/>
      <c r="WD11" s="202"/>
      <c r="WE11" s="202"/>
      <c r="WF11" s="202"/>
      <c r="WG11" s="202"/>
      <c r="WH11" s="202" t="s">
        <v>98</v>
      </c>
      <c r="WI11" s="202"/>
      <c r="WJ11" s="202"/>
      <c r="WK11" s="202"/>
      <c r="WL11" s="202"/>
      <c r="WM11" s="202"/>
      <c r="WN11" s="202"/>
      <c r="WO11" s="202"/>
      <c r="WP11" s="202"/>
      <c r="WQ11" s="202"/>
      <c r="WR11" s="202"/>
      <c r="WS11" s="202"/>
      <c r="WT11" s="202"/>
      <c r="WU11" s="202"/>
      <c r="WV11" s="202"/>
      <c r="WW11" s="202"/>
      <c r="WX11" s="202"/>
      <c r="WY11" s="202"/>
      <c r="WZ11" s="202"/>
      <c r="XA11" s="202"/>
      <c r="XB11" s="202"/>
      <c r="XC11" s="202"/>
      <c r="XD11" s="202"/>
      <c r="XE11" s="202"/>
      <c r="XF11" s="202"/>
      <c r="XG11" s="202"/>
      <c r="XH11" s="202"/>
      <c r="XI11" s="202"/>
      <c r="XJ11" s="202"/>
      <c r="XK11" s="202"/>
      <c r="XL11" s="202"/>
      <c r="XM11" s="202"/>
      <c r="XN11" s="202"/>
      <c r="XO11" s="202"/>
      <c r="XP11" s="202"/>
      <c r="XQ11" s="202"/>
      <c r="XR11" s="202"/>
      <c r="XS11" s="202"/>
      <c r="XT11" s="202"/>
      <c r="XU11" s="202"/>
      <c r="XV11" s="202"/>
      <c r="XW11" s="202"/>
      <c r="XX11" s="202"/>
      <c r="XY11" s="202"/>
      <c r="XZ11" s="202"/>
      <c r="YA11" s="202"/>
      <c r="YB11" s="202"/>
      <c r="YC11" s="202"/>
      <c r="YD11" s="202"/>
      <c r="YE11" s="202"/>
      <c r="YF11" s="202"/>
      <c r="YG11" s="202"/>
      <c r="YH11" s="202"/>
      <c r="YI11" s="202"/>
      <c r="YJ11" s="202"/>
      <c r="YK11" s="202"/>
      <c r="YL11" s="202"/>
      <c r="YM11" s="202"/>
      <c r="YN11" s="202"/>
      <c r="YO11" s="202"/>
      <c r="YP11" s="202" t="s">
        <v>98</v>
      </c>
      <c r="YQ11" s="202"/>
      <c r="YR11" s="202"/>
      <c r="YS11" s="202"/>
      <c r="YT11" s="202"/>
      <c r="YU11" s="202"/>
      <c r="YV11" s="202"/>
      <c r="YW11" s="202"/>
      <c r="YX11" s="202"/>
      <c r="YY11" s="202"/>
      <c r="YZ11" s="202"/>
      <c r="ZA11" s="202"/>
      <c r="ZB11" s="202"/>
      <c r="ZC11" s="202"/>
      <c r="ZD11" s="202"/>
      <c r="ZE11" s="202"/>
      <c r="ZF11" s="202"/>
      <c r="ZG11" s="202"/>
      <c r="ZH11" s="202"/>
      <c r="ZI11" s="202"/>
      <c r="ZJ11" s="202"/>
      <c r="ZK11" s="202"/>
      <c r="ZL11" s="202"/>
      <c r="ZM11" s="202"/>
      <c r="ZN11" s="202"/>
      <c r="ZO11" s="202"/>
      <c r="ZP11" s="202"/>
      <c r="ZQ11" s="202"/>
      <c r="ZR11" s="202"/>
      <c r="ZS11" s="202"/>
      <c r="ZT11" s="202"/>
      <c r="ZU11" s="202"/>
      <c r="ZV11" s="202"/>
      <c r="ZW11" s="202"/>
      <c r="ZX11" s="202"/>
      <c r="ZY11" s="202"/>
      <c r="ZZ11" s="202"/>
      <c r="AAA11" s="202"/>
      <c r="AAB11" s="202"/>
      <c r="AAC11" s="202"/>
      <c r="AAD11" s="202"/>
      <c r="AAE11" s="202"/>
      <c r="AAF11" s="202"/>
      <c r="AAG11" s="202"/>
      <c r="AAH11" s="202"/>
      <c r="AAI11" s="202"/>
      <c r="AAJ11" s="202"/>
      <c r="AAK11" s="202"/>
      <c r="AAL11" s="202"/>
      <c r="AAM11" s="202"/>
      <c r="AAN11" s="202"/>
      <c r="AAO11" s="202"/>
      <c r="AAP11" s="202"/>
      <c r="AAQ11" s="202"/>
      <c r="AAR11" s="202"/>
      <c r="AAS11" s="202"/>
      <c r="AAT11" s="202"/>
      <c r="AAU11" s="202"/>
      <c r="AAV11" s="202"/>
      <c r="AAW11" s="202"/>
      <c r="AAX11" s="202" t="s">
        <v>107</v>
      </c>
      <c r="AAY11" s="202"/>
      <c r="AAZ11" s="202"/>
      <c r="ABA11" s="202"/>
      <c r="ABB11" s="202"/>
      <c r="ABC11" s="202"/>
      <c r="ABD11" s="202"/>
      <c r="ABE11" s="202"/>
      <c r="ABF11" s="202"/>
      <c r="ABG11" s="202"/>
      <c r="ABH11" s="202"/>
      <c r="ABI11" s="202"/>
      <c r="ABJ11" s="202"/>
      <c r="ABK11" s="202"/>
      <c r="ABL11" s="202"/>
      <c r="ABM11" s="202"/>
      <c r="ABN11" s="202"/>
      <c r="ABO11" s="202"/>
      <c r="ABP11" s="202"/>
      <c r="ABQ11" s="202"/>
      <c r="ABR11" s="202"/>
      <c r="ABS11" s="202"/>
      <c r="ABT11" s="202"/>
      <c r="ABU11" s="202"/>
      <c r="ABV11" s="202"/>
      <c r="ABW11" s="202"/>
      <c r="ABX11" s="202"/>
      <c r="ABY11" s="202"/>
      <c r="ABZ11" s="202"/>
      <c r="ACA11" s="202"/>
      <c r="ACB11" s="202"/>
      <c r="ACC11" s="202"/>
      <c r="ACD11" s="202"/>
      <c r="ACE11" s="202"/>
      <c r="ACF11" s="202"/>
      <c r="ACG11" s="202"/>
      <c r="ACH11" s="202"/>
      <c r="ACI11" s="202"/>
      <c r="ACJ11" s="202"/>
      <c r="ACK11" s="202"/>
      <c r="ACL11" s="202"/>
      <c r="ACM11" s="202"/>
      <c r="ACN11" s="202"/>
      <c r="ACO11" s="202"/>
      <c r="ACP11" s="202"/>
      <c r="ACQ11" s="202"/>
      <c r="ACR11" s="202"/>
      <c r="ACS11" s="202"/>
      <c r="ACT11" s="202"/>
      <c r="ACU11" s="202"/>
      <c r="ACV11" s="202"/>
      <c r="ACW11" s="202"/>
      <c r="ACX11" s="202"/>
      <c r="ACY11" s="202"/>
      <c r="ACZ11" s="202"/>
      <c r="ADA11" s="202"/>
      <c r="ADB11" s="202"/>
      <c r="ADC11" s="202"/>
      <c r="ADD11" s="202"/>
      <c r="ADE11" s="202"/>
      <c r="ADF11" s="202" t="s">
        <v>107</v>
      </c>
      <c r="ADG11" s="202"/>
      <c r="ADH11" s="202"/>
      <c r="ADI11" s="202"/>
      <c r="ADJ11" s="202"/>
      <c r="ADK11" s="202"/>
      <c r="ADL11" s="202"/>
      <c r="ADM11" s="202"/>
      <c r="ADN11" s="202"/>
      <c r="ADO11" s="202"/>
      <c r="ADP11" s="202"/>
      <c r="ADQ11" s="202"/>
      <c r="ADR11" s="202"/>
      <c r="ADS11" s="202"/>
      <c r="ADT11" s="202"/>
      <c r="ADU11" s="202"/>
      <c r="ADV11" s="202"/>
      <c r="ADW11" s="202"/>
      <c r="ADX11" s="202"/>
      <c r="ADY11" s="202"/>
      <c r="ADZ11" s="202"/>
      <c r="AEA11" s="202"/>
      <c r="AEB11" s="202"/>
      <c r="AEC11" s="202"/>
      <c r="AED11" s="202"/>
      <c r="AEE11" s="202"/>
      <c r="AEF11" s="202"/>
      <c r="AEG11" s="202"/>
      <c r="AEH11" s="202"/>
      <c r="AEI11" s="202"/>
      <c r="AEJ11" s="202"/>
      <c r="AEK11" s="202"/>
      <c r="AEL11" s="202"/>
      <c r="AEM11" s="202"/>
      <c r="AEN11" s="202"/>
      <c r="AEO11" s="202"/>
      <c r="AEP11" s="202"/>
      <c r="AEQ11" s="202"/>
      <c r="AER11" s="202"/>
      <c r="AES11" s="202"/>
      <c r="AET11" s="202"/>
      <c r="AEU11" s="202"/>
      <c r="AEV11" s="202"/>
      <c r="AEW11" s="202"/>
      <c r="AEX11" s="202"/>
      <c r="AEY11" s="202"/>
      <c r="AEZ11" s="202"/>
      <c r="AFA11" s="202"/>
      <c r="AFB11" s="202"/>
      <c r="AFC11" s="202"/>
      <c r="AFD11" s="202"/>
      <c r="AFE11" s="202"/>
      <c r="AFF11" s="202"/>
      <c r="AFG11" s="202"/>
      <c r="AFH11" s="202"/>
      <c r="AFI11" s="202"/>
      <c r="AFJ11" s="202"/>
      <c r="AFK11" s="202"/>
      <c r="AFL11" s="202"/>
      <c r="AFM11" s="202"/>
      <c r="AFN11" s="90"/>
    </row>
    <row r="12" spans="1:846" ht="15.75" customHeight="1" thickBot="1" x14ac:dyDescent="0.3">
      <c r="B12" s="97"/>
      <c r="C12" s="230"/>
      <c r="D12" s="230"/>
      <c r="E12" s="230"/>
      <c r="F12" s="209"/>
      <c r="G12" s="209"/>
      <c r="H12" s="209"/>
      <c r="I12" s="209"/>
      <c r="J12" s="209"/>
      <c r="K12" s="209"/>
      <c r="L12" s="209"/>
      <c r="M12" s="209"/>
      <c r="N12" s="209"/>
      <c r="O12" s="209"/>
      <c r="P12" s="209"/>
      <c r="Q12" s="209"/>
      <c r="R12" s="209"/>
      <c r="S12" s="209"/>
      <c r="T12" s="209"/>
      <c r="U12" s="209"/>
      <c r="V12" s="209"/>
      <c r="W12" s="209"/>
      <c r="X12" s="209"/>
      <c r="Y12" s="209"/>
      <c r="Z12" s="209"/>
      <c r="AA12" s="209"/>
      <c r="AB12" s="209"/>
      <c r="AC12" s="209"/>
      <c r="AD12" s="209"/>
      <c r="AE12" s="209"/>
      <c r="AF12" s="209"/>
      <c r="AG12" s="209"/>
      <c r="AH12" s="209"/>
      <c r="AI12" s="209"/>
      <c r="AJ12" s="209"/>
      <c r="AK12" s="209"/>
      <c r="AL12" s="209"/>
      <c r="AM12" s="209"/>
      <c r="AN12" s="209"/>
      <c r="AO12" s="209"/>
      <c r="AP12" s="209"/>
      <c r="AQ12" s="209"/>
      <c r="AR12" s="209"/>
      <c r="AS12" s="209"/>
      <c r="AT12" s="209"/>
      <c r="AU12" s="209"/>
      <c r="AV12" s="209"/>
      <c r="AW12" s="209"/>
      <c r="AX12" s="209"/>
      <c r="AY12" s="209"/>
      <c r="AZ12" s="209"/>
      <c r="BA12" s="209"/>
      <c r="BB12" s="209"/>
      <c r="BC12" s="209"/>
      <c r="BD12" s="209"/>
      <c r="BE12" s="209"/>
      <c r="BF12" s="209"/>
      <c r="BG12" s="209"/>
      <c r="BH12" s="209"/>
      <c r="BI12" s="209"/>
      <c r="BJ12" s="209"/>
      <c r="BK12" s="209"/>
      <c r="BL12" s="209"/>
      <c r="BM12" s="209"/>
      <c r="BN12" s="209"/>
      <c r="BO12" s="209"/>
      <c r="BP12" s="209"/>
      <c r="BQ12" s="209"/>
      <c r="BR12" s="209"/>
      <c r="BS12" s="209"/>
      <c r="BT12" s="209"/>
      <c r="BU12" s="209"/>
      <c r="BV12" s="209"/>
      <c r="BW12" s="209"/>
      <c r="BX12" s="209"/>
      <c r="BY12" s="209"/>
      <c r="BZ12" s="209"/>
      <c r="CA12" s="209"/>
      <c r="CB12" s="209"/>
      <c r="CC12" s="209"/>
      <c r="CD12" s="209"/>
      <c r="CE12" s="209"/>
      <c r="CF12" s="209"/>
      <c r="CG12" s="209"/>
      <c r="CH12" s="209"/>
      <c r="CI12" s="209"/>
      <c r="CJ12" s="209"/>
      <c r="CK12" s="209"/>
      <c r="CL12" s="209"/>
      <c r="CM12" s="209"/>
      <c r="CN12" s="209"/>
      <c r="CO12" s="209"/>
      <c r="CP12" s="209"/>
      <c r="CQ12" s="209"/>
      <c r="CR12" s="209"/>
      <c r="CS12" s="209"/>
      <c r="CT12" s="209"/>
      <c r="CU12" s="209"/>
      <c r="CV12" s="209"/>
      <c r="CW12" s="209"/>
      <c r="CX12" s="209"/>
      <c r="CY12" s="209"/>
      <c r="CZ12" s="209"/>
      <c r="DA12" s="209"/>
      <c r="DB12" s="209"/>
      <c r="DC12" s="209"/>
      <c r="DD12" s="209"/>
      <c r="DE12" s="209"/>
      <c r="DF12" s="209"/>
      <c r="DG12" s="209"/>
      <c r="DH12" s="209"/>
      <c r="DI12" s="209"/>
      <c r="DJ12" s="209"/>
      <c r="DK12" s="209"/>
      <c r="DL12" s="209"/>
      <c r="DM12" s="209"/>
      <c r="DN12" s="209"/>
      <c r="DO12" s="209"/>
      <c r="DP12" s="209"/>
      <c r="DQ12" s="209"/>
      <c r="DR12" s="209"/>
      <c r="DS12" s="209"/>
      <c r="DT12" s="209"/>
      <c r="DU12" s="209"/>
      <c r="DV12" s="209"/>
      <c r="DW12" s="209"/>
      <c r="DX12" s="209"/>
      <c r="DY12" s="209"/>
      <c r="DZ12" s="209"/>
      <c r="EA12" s="209"/>
      <c r="EB12" s="209"/>
      <c r="EC12" s="209"/>
      <c r="ED12" s="209"/>
      <c r="EE12" s="209"/>
      <c r="EF12" s="209"/>
      <c r="EG12" s="209"/>
      <c r="EH12" s="209"/>
      <c r="EI12" s="209"/>
      <c r="EJ12" s="209"/>
      <c r="EK12" s="209"/>
      <c r="EL12" s="209"/>
      <c r="EM12" s="209"/>
      <c r="EN12" s="209"/>
      <c r="EO12" s="209"/>
      <c r="EP12" s="209"/>
      <c r="EQ12" s="209"/>
      <c r="ER12" s="209"/>
      <c r="ES12" s="209"/>
      <c r="ET12" s="209"/>
      <c r="EU12" s="209"/>
      <c r="EV12" s="209"/>
      <c r="EW12" s="209"/>
      <c r="EX12" s="209"/>
      <c r="EY12" s="209"/>
      <c r="EZ12" s="209"/>
      <c r="FA12" s="209"/>
      <c r="FB12" s="209"/>
      <c r="FC12" s="209"/>
      <c r="FD12" s="209"/>
      <c r="FE12" s="209"/>
      <c r="FF12" s="209"/>
      <c r="FG12" s="209"/>
      <c r="FH12" s="209"/>
      <c r="FI12" s="209"/>
      <c r="FJ12" s="209"/>
      <c r="FK12" s="209"/>
      <c r="FL12" s="209"/>
      <c r="FM12" s="209"/>
      <c r="FN12" s="209"/>
      <c r="FO12" s="209"/>
      <c r="FP12" s="209"/>
      <c r="FQ12" s="209"/>
      <c r="FR12" s="209"/>
      <c r="FS12" s="209"/>
      <c r="FT12" s="209"/>
      <c r="FU12" s="209"/>
      <c r="FV12" s="209"/>
      <c r="FW12" s="209"/>
      <c r="FX12" s="209"/>
      <c r="FY12" s="209"/>
      <c r="FZ12" s="209"/>
      <c r="GA12" s="209"/>
      <c r="GB12" s="209"/>
      <c r="GC12" s="209"/>
      <c r="GD12" s="209"/>
      <c r="GE12" s="209"/>
      <c r="GF12" s="209"/>
      <c r="GG12" s="209"/>
      <c r="GH12" s="209"/>
      <c r="GI12" s="209"/>
      <c r="GJ12" s="209"/>
      <c r="GK12" s="209"/>
      <c r="GL12" s="209"/>
      <c r="GM12" s="209"/>
      <c r="GN12" s="209"/>
      <c r="GO12" s="209"/>
      <c r="GP12" s="209"/>
      <c r="GQ12" s="209"/>
      <c r="GR12" s="209"/>
      <c r="GS12" s="209"/>
      <c r="GT12" s="209"/>
      <c r="GU12" s="209"/>
      <c r="GV12" s="209"/>
      <c r="GW12" s="209"/>
      <c r="GX12" s="209"/>
      <c r="GY12" s="209"/>
      <c r="GZ12" s="209"/>
      <c r="HA12" s="209"/>
      <c r="HB12" s="209"/>
      <c r="HC12" s="209"/>
      <c r="HD12" s="209"/>
      <c r="HE12" s="209"/>
      <c r="HF12" s="209"/>
      <c r="HG12" s="209"/>
      <c r="HH12" s="209"/>
      <c r="HI12" s="209"/>
      <c r="HJ12" s="209"/>
      <c r="HK12" s="209"/>
      <c r="HL12" s="209"/>
      <c r="HM12" s="209"/>
      <c r="HN12" s="209"/>
      <c r="HO12" s="209"/>
      <c r="HP12" s="209"/>
      <c r="HQ12" s="209"/>
      <c r="HR12" s="209"/>
      <c r="HS12" s="209"/>
      <c r="HT12" s="209"/>
      <c r="HU12" s="209"/>
      <c r="HV12" s="209"/>
      <c r="HW12" s="209"/>
      <c r="HX12" s="209"/>
      <c r="HY12" s="209"/>
      <c r="HZ12" s="209"/>
      <c r="IA12" s="209"/>
      <c r="IB12" s="209"/>
      <c r="IC12" s="209"/>
      <c r="ID12" s="209"/>
      <c r="IE12" s="209"/>
      <c r="IF12" s="209"/>
      <c r="IG12" s="209"/>
      <c r="IH12" s="209"/>
      <c r="II12" s="209"/>
      <c r="IJ12" s="209"/>
      <c r="IK12" s="209"/>
      <c r="IL12" s="209"/>
      <c r="IM12" s="209"/>
      <c r="IN12" s="209"/>
      <c r="IO12" s="209"/>
      <c r="IP12" s="209"/>
      <c r="IQ12" s="209"/>
      <c r="IR12" s="209"/>
      <c r="IS12" s="209"/>
      <c r="IT12" s="209"/>
      <c r="IU12" s="209"/>
      <c r="IV12" s="209"/>
      <c r="IW12" s="209"/>
      <c r="IX12" s="209"/>
      <c r="IY12" s="209"/>
      <c r="IZ12" s="209"/>
      <c r="JA12" s="209"/>
      <c r="JB12" s="209"/>
      <c r="JC12" s="209"/>
      <c r="JD12" s="209"/>
      <c r="JE12" s="209"/>
      <c r="JF12" s="209"/>
      <c r="JG12" s="209"/>
      <c r="JH12" s="209"/>
      <c r="JI12" s="209"/>
      <c r="JJ12" s="209"/>
      <c r="JK12" s="209"/>
      <c r="JL12" s="209"/>
      <c r="JM12" s="209"/>
      <c r="JN12" s="209"/>
      <c r="JO12" s="209"/>
      <c r="JP12" s="209"/>
      <c r="JQ12" s="209"/>
      <c r="JR12" s="209"/>
      <c r="JS12" s="209"/>
      <c r="JT12" s="209"/>
      <c r="JU12" s="209"/>
      <c r="JV12" s="209"/>
      <c r="JW12" s="209"/>
      <c r="JX12" s="209"/>
      <c r="JY12" s="209"/>
      <c r="JZ12" s="209"/>
      <c r="KA12" s="209"/>
      <c r="KB12" s="209"/>
      <c r="KC12" s="209"/>
      <c r="KD12" s="209"/>
      <c r="KE12" s="209"/>
      <c r="KF12" s="209"/>
      <c r="KG12" s="209"/>
      <c r="KH12" s="209"/>
      <c r="KI12" s="209"/>
      <c r="KJ12" s="209"/>
      <c r="KK12" s="209"/>
      <c r="KL12" s="209"/>
      <c r="KM12" s="209"/>
      <c r="KN12" s="209"/>
      <c r="KO12" s="209"/>
      <c r="KP12" s="209"/>
      <c r="KQ12" s="209"/>
      <c r="KR12" s="209"/>
      <c r="KS12" s="209"/>
      <c r="KT12" s="209"/>
      <c r="KU12" s="209"/>
      <c r="KV12" s="209"/>
      <c r="KW12" s="209"/>
      <c r="KX12" s="209"/>
      <c r="KY12" s="209"/>
      <c r="KZ12" s="209"/>
      <c r="LA12" s="209"/>
      <c r="LB12" s="209"/>
      <c r="LC12" s="209"/>
      <c r="LD12" s="209"/>
      <c r="LE12" s="209"/>
      <c r="LF12" s="209"/>
      <c r="LG12" s="209"/>
      <c r="LH12" s="209"/>
      <c r="LI12" s="209"/>
      <c r="LJ12" s="209"/>
      <c r="LK12" s="209"/>
      <c r="LL12" s="209"/>
      <c r="LM12" s="209"/>
      <c r="LN12" s="209"/>
      <c r="LO12" s="209"/>
      <c r="LP12" s="209"/>
      <c r="LQ12" s="209"/>
      <c r="LR12" s="209"/>
      <c r="LS12" s="209"/>
      <c r="LT12" s="209"/>
      <c r="LU12" s="209"/>
      <c r="LV12" s="209"/>
      <c r="LW12" s="209"/>
      <c r="LX12" s="209"/>
      <c r="LY12" s="209"/>
      <c r="LZ12" s="209"/>
      <c r="MA12" s="209"/>
      <c r="MB12" s="209"/>
      <c r="MC12" s="209"/>
      <c r="MD12" s="209"/>
      <c r="ME12" s="209"/>
      <c r="MF12" s="209"/>
      <c r="MG12" s="209"/>
      <c r="MH12" s="209"/>
      <c r="MI12" s="209"/>
      <c r="MJ12" s="209"/>
      <c r="MK12" s="209"/>
      <c r="ML12" s="209"/>
      <c r="MM12" s="209"/>
      <c r="MN12" s="209"/>
      <c r="MO12" s="209"/>
      <c r="MP12" s="209"/>
      <c r="MQ12" s="209"/>
      <c r="MR12" s="209"/>
      <c r="MS12" s="209"/>
      <c r="MT12" s="209"/>
      <c r="MU12" s="209"/>
      <c r="MV12" s="209"/>
      <c r="MW12" s="209"/>
      <c r="MX12" s="209"/>
      <c r="MY12" s="209"/>
      <c r="MZ12" s="209"/>
      <c r="NA12" s="209"/>
      <c r="NB12" s="209"/>
      <c r="NC12" s="209"/>
      <c r="ND12" s="209"/>
      <c r="NE12" s="209"/>
      <c r="NF12" s="209"/>
      <c r="NG12" s="209"/>
      <c r="NH12" s="209"/>
      <c r="NI12" s="209"/>
      <c r="NJ12" s="209"/>
      <c r="NK12" s="209"/>
      <c r="NL12" s="209"/>
      <c r="NM12" s="209"/>
      <c r="NN12" s="209"/>
      <c r="NO12" s="209"/>
      <c r="NP12" s="209"/>
      <c r="NQ12" s="209"/>
      <c r="NR12" s="209"/>
      <c r="NS12" s="209"/>
      <c r="NT12" s="209"/>
      <c r="NU12" s="209"/>
      <c r="NV12" s="209"/>
      <c r="NW12" s="209"/>
      <c r="NX12" s="209"/>
      <c r="NY12" s="209"/>
      <c r="NZ12" s="209"/>
      <c r="OA12" s="209"/>
      <c r="OB12" s="209"/>
      <c r="OC12" s="209"/>
      <c r="OD12" s="209"/>
      <c r="OE12" s="209"/>
      <c r="OF12" s="209"/>
      <c r="OG12" s="209"/>
      <c r="OH12" s="209"/>
      <c r="OI12" s="209"/>
      <c r="OJ12" s="209"/>
      <c r="OK12" s="209"/>
      <c r="OL12" s="209"/>
      <c r="OM12" s="209"/>
      <c r="ON12" s="209"/>
      <c r="OO12" s="209"/>
      <c r="OP12" s="209"/>
      <c r="OQ12" s="209"/>
      <c r="OR12" s="209"/>
      <c r="OS12" s="209"/>
      <c r="OT12" s="209"/>
      <c r="OU12" s="209"/>
      <c r="OV12" s="209"/>
      <c r="OW12" s="209"/>
      <c r="OX12" s="209"/>
      <c r="OY12" s="209"/>
      <c r="OZ12" s="209"/>
      <c r="PA12" s="209"/>
      <c r="PB12" s="209"/>
      <c r="PC12" s="209"/>
      <c r="PD12" s="209"/>
      <c r="PE12" s="209"/>
      <c r="PF12" s="209"/>
      <c r="PG12" s="209"/>
      <c r="PH12" s="209"/>
      <c r="PI12" s="209"/>
      <c r="PJ12" s="203"/>
      <c r="PK12" s="203"/>
      <c r="PL12" s="203"/>
      <c r="PM12" s="203"/>
      <c r="PN12" s="203"/>
      <c r="PO12" s="203"/>
      <c r="PP12" s="203"/>
      <c r="PQ12" s="203"/>
      <c r="PR12" s="203"/>
      <c r="PS12" s="203"/>
      <c r="PT12" s="203"/>
      <c r="PU12" s="203"/>
      <c r="PV12" s="203"/>
      <c r="PW12" s="203"/>
      <c r="PX12" s="203"/>
      <c r="PY12" s="203"/>
      <c r="PZ12" s="203"/>
      <c r="QA12" s="203"/>
      <c r="QB12" s="203"/>
      <c r="QC12" s="203"/>
      <c r="QD12" s="203"/>
      <c r="QE12" s="203"/>
      <c r="QF12" s="203"/>
      <c r="QG12" s="203"/>
      <c r="QH12" s="203"/>
      <c r="QI12" s="203"/>
      <c r="QJ12" s="203"/>
      <c r="QK12" s="203"/>
      <c r="QL12" s="203"/>
      <c r="QM12" s="203"/>
      <c r="QN12" s="203"/>
      <c r="QO12" s="203"/>
      <c r="QP12" s="203"/>
      <c r="QQ12" s="203"/>
      <c r="QR12" s="203"/>
      <c r="QS12" s="203"/>
      <c r="QT12" s="203"/>
      <c r="QU12" s="203"/>
      <c r="QV12" s="203"/>
      <c r="QW12" s="203"/>
      <c r="QX12" s="203"/>
      <c r="QY12" s="203"/>
      <c r="QZ12" s="203"/>
      <c r="RA12" s="203"/>
      <c r="RB12" s="203"/>
      <c r="RC12" s="203"/>
      <c r="RD12" s="203"/>
      <c r="RE12" s="203"/>
      <c r="RF12" s="203"/>
      <c r="RG12" s="203"/>
      <c r="RH12" s="203"/>
      <c r="RI12" s="203"/>
      <c r="RJ12" s="203"/>
      <c r="RK12" s="203"/>
      <c r="RL12" s="203"/>
      <c r="RM12" s="203"/>
      <c r="RN12" s="203"/>
      <c r="RO12" s="203"/>
      <c r="RP12" s="203"/>
      <c r="RQ12" s="203"/>
      <c r="RR12" s="203"/>
      <c r="RS12" s="203"/>
      <c r="RT12" s="203"/>
      <c r="RU12" s="203"/>
      <c r="RV12" s="203"/>
      <c r="RW12" s="203"/>
      <c r="RX12" s="203"/>
      <c r="RY12" s="203"/>
      <c r="RZ12" s="203"/>
      <c r="SA12" s="203"/>
      <c r="SB12" s="203"/>
      <c r="SC12" s="203"/>
      <c r="SD12" s="203"/>
      <c r="SE12" s="203"/>
      <c r="SF12" s="203"/>
      <c r="SG12" s="203"/>
      <c r="SH12" s="203"/>
      <c r="SI12" s="203"/>
      <c r="SJ12" s="203"/>
      <c r="SK12" s="203"/>
      <c r="SL12" s="203"/>
      <c r="SM12" s="203"/>
      <c r="SN12" s="203"/>
      <c r="SO12" s="203"/>
      <c r="SP12" s="203"/>
      <c r="SQ12" s="203"/>
      <c r="SR12" s="203"/>
      <c r="SS12" s="203"/>
      <c r="ST12" s="203"/>
      <c r="SU12" s="203"/>
      <c r="SV12" s="203"/>
      <c r="SW12" s="203"/>
      <c r="SX12" s="203"/>
      <c r="SY12" s="203"/>
      <c r="SZ12" s="203"/>
      <c r="TA12" s="203"/>
      <c r="TB12" s="203"/>
      <c r="TC12" s="203"/>
      <c r="TD12" s="203"/>
      <c r="TE12" s="203"/>
      <c r="TF12" s="203"/>
      <c r="TG12" s="203"/>
      <c r="TH12" s="203"/>
      <c r="TI12" s="203"/>
      <c r="TJ12" s="203"/>
      <c r="TK12" s="203"/>
      <c r="TL12" s="203"/>
      <c r="TM12" s="203"/>
      <c r="TN12" s="203"/>
      <c r="TO12" s="203"/>
      <c r="TP12" s="203"/>
      <c r="TQ12" s="203"/>
      <c r="TR12" s="203"/>
      <c r="TS12" s="203"/>
      <c r="TT12" s="203"/>
      <c r="TU12" s="203"/>
      <c r="TV12" s="203"/>
      <c r="TW12" s="203"/>
      <c r="TX12" s="203"/>
      <c r="TY12" s="203"/>
      <c r="TZ12" s="203"/>
      <c r="UA12" s="203"/>
      <c r="UB12" s="203"/>
      <c r="UC12" s="203"/>
      <c r="UD12" s="203"/>
      <c r="UE12" s="203"/>
      <c r="UF12" s="203"/>
      <c r="UG12" s="203"/>
      <c r="UH12" s="203"/>
      <c r="UI12" s="203"/>
      <c r="UJ12" s="203"/>
      <c r="UK12" s="203"/>
      <c r="UL12" s="203"/>
      <c r="UM12" s="203"/>
      <c r="UN12" s="203"/>
      <c r="UO12" s="203"/>
      <c r="UP12" s="203"/>
      <c r="UQ12" s="203"/>
      <c r="UR12" s="203"/>
      <c r="US12" s="203"/>
      <c r="UT12" s="203"/>
      <c r="UU12" s="203"/>
      <c r="UV12" s="203"/>
      <c r="UW12" s="203"/>
      <c r="UX12" s="203"/>
      <c r="UY12" s="203"/>
      <c r="UZ12" s="203"/>
      <c r="VA12" s="203"/>
      <c r="VB12" s="203"/>
      <c r="VC12" s="203"/>
      <c r="VD12" s="203"/>
      <c r="VE12" s="203"/>
      <c r="VF12" s="203"/>
      <c r="VG12" s="203"/>
      <c r="VH12" s="203"/>
      <c r="VI12" s="203"/>
      <c r="VJ12" s="203"/>
      <c r="VK12" s="203"/>
      <c r="VL12" s="203"/>
      <c r="VM12" s="203"/>
      <c r="VN12" s="203"/>
      <c r="VO12" s="203"/>
      <c r="VP12" s="203"/>
      <c r="VQ12" s="203"/>
      <c r="VR12" s="203"/>
      <c r="VS12" s="203"/>
      <c r="VT12" s="203"/>
      <c r="VU12" s="203"/>
      <c r="VV12" s="203"/>
      <c r="VW12" s="203"/>
      <c r="VX12" s="203"/>
      <c r="VY12" s="203"/>
      <c r="VZ12" s="203"/>
      <c r="WA12" s="203"/>
      <c r="WB12" s="203"/>
      <c r="WC12" s="203"/>
      <c r="WD12" s="203"/>
      <c r="WE12" s="203"/>
      <c r="WF12" s="203"/>
      <c r="WG12" s="203"/>
      <c r="WH12" s="203"/>
      <c r="WI12" s="203"/>
      <c r="WJ12" s="203"/>
      <c r="WK12" s="203"/>
      <c r="WL12" s="203"/>
      <c r="WM12" s="203"/>
      <c r="WN12" s="203"/>
      <c r="WO12" s="203"/>
      <c r="WP12" s="203"/>
      <c r="WQ12" s="203"/>
      <c r="WR12" s="203"/>
      <c r="WS12" s="203"/>
      <c r="WT12" s="203"/>
      <c r="WU12" s="203"/>
      <c r="WV12" s="203"/>
      <c r="WW12" s="203"/>
      <c r="WX12" s="203"/>
      <c r="WY12" s="203"/>
      <c r="WZ12" s="203"/>
      <c r="XA12" s="203"/>
      <c r="XB12" s="203"/>
      <c r="XC12" s="203"/>
      <c r="XD12" s="203"/>
      <c r="XE12" s="203"/>
      <c r="XF12" s="203"/>
      <c r="XG12" s="203"/>
      <c r="XH12" s="203"/>
      <c r="XI12" s="203"/>
      <c r="XJ12" s="203"/>
      <c r="XK12" s="203"/>
      <c r="XL12" s="203"/>
      <c r="XM12" s="203"/>
      <c r="XN12" s="203"/>
      <c r="XO12" s="203"/>
      <c r="XP12" s="203"/>
      <c r="XQ12" s="203"/>
      <c r="XR12" s="203"/>
      <c r="XS12" s="203"/>
      <c r="XT12" s="203"/>
      <c r="XU12" s="203"/>
      <c r="XV12" s="203"/>
      <c r="XW12" s="203"/>
      <c r="XX12" s="203"/>
      <c r="XY12" s="203"/>
      <c r="XZ12" s="203"/>
      <c r="YA12" s="203"/>
      <c r="YB12" s="203"/>
      <c r="YC12" s="203"/>
      <c r="YD12" s="203"/>
      <c r="YE12" s="203"/>
      <c r="YF12" s="203"/>
      <c r="YG12" s="203"/>
      <c r="YH12" s="203"/>
      <c r="YI12" s="203"/>
      <c r="YJ12" s="203"/>
      <c r="YK12" s="203"/>
      <c r="YL12" s="203"/>
      <c r="YM12" s="203"/>
      <c r="YN12" s="203"/>
      <c r="YO12" s="203"/>
      <c r="YP12" s="203"/>
      <c r="YQ12" s="203"/>
      <c r="YR12" s="203"/>
      <c r="YS12" s="203"/>
      <c r="YT12" s="203"/>
      <c r="YU12" s="203"/>
      <c r="YV12" s="203"/>
      <c r="YW12" s="203"/>
      <c r="YX12" s="203"/>
      <c r="YY12" s="203"/>
      <c r="YZ12" s="203"/>
      <c r="ZA12" s="203"/>
      <c r="ZB12" s="203"/>
      <c r="ZC12" s="203"/>
      <c r="ZD12" s="203"/>
      <c r="ZE12" s="203"/>
      <c r="ZF12" s="203"/>
      <c r="ZG12" s="203"/>
      <c r="ZH12" s="203"/>
      <c r="ZI12" s="203"/>
      <c r="ZJ12" s="203"/>
      <c r="ZK12" s="203"/>
      <c r="ZL12" s="203"/>
      <c r="ZM12" s="203"/>
      <c r="ZN12" s="203"/>
      <c r="ZO12" s="203"/>
      <c r="ZP12" s="203"/>
      <c r="ZQ12" s="203"/>
      <c r="ZR12" s="203"/>
      <c r="ZS12" s="203"/>
      <c r="ZT12" s="203"/>
      <c r="ZU12" s="203"/>
      <c r="ZV12" s="203"/>
      <c r="ZW12" s="203"/>
      <c r="ZX12" s="203"/>
      <c r="ZY12" s="203"/>
      <c r="ZZ12" s="203"/>
      <c r="AAA12" s="203"/>
      <c r="AAB12" s="203"/>
      <c r="AAC12" s="203"/>
      <c r="AAD12" s="203"/>
      <c r="AAE12" s="203"/>
      <c r="AAF12" s="203"/>
      <c r="AAG12" s="203"/>
      <c r="AAH12" s="203"/>
      <c r="AAI12" s="203"/>
      <c r="AAJ12" s="203"/>
      <c r="AAK12" s="203"/>
      <c r="AAL12" s="203"/>
      <c r="AAM12" s="203"/>
      <c r="AAN12" s="203"/>
      <c r="AAO12" s="203"/>
      <c r="AAP12" s="203"/>
      <c r="AAQ12" s="203"/>
      <c r="AAR12" s="203"/>
      <c r="AAS12" s="203"/>
      <c r="AAT12" s="203"/>
      <c r="AAU12" s="203"/>
      <c r="AAV12" s="203"/>
      <c r="AAW12" s="203"/>
      <c r="AAX12" s="203"/>
      <c r="AAY12" s="203"/>
      <c r="AAZ12" s="203"/>
      <c r="ABA12" s="203"/>
      <c r="ABB12" s="203"/>
      <c r="ABC12" s="203"/>
      <c r="ABD12" s="203"/>
      <c r="ABE12" s="203"/>
      <c r="ABF12" s="203"/>
      <c r="ABG12" s="203"/>
      <c r="ABH12" s="203"/>
      <c r="ABI12" s="203"/>
      <c r="ABJ12" s="203"/>
      <c r="ABK12" s="203"/>
      <c r="ABL12" s="203"/>
      <c r="ABM12" s="203"/>
      <c r="ABN12" s="203"/>
      <c r="ABO12" s="203"/>
      <c r="ABP12" s="203"/>
      <c r="ABQ12" s="203"/>
      <c r="ABR12" s="203"/>
      <c r="ABS12" s="203"/>
      <c r="ABT12" s="203"/>
      <c r="ABU12" s="203"/>
      <c r="ABV12" s="203"/>
      <c r="ABW12" s="203"/>
      <c r="ABX12" s="203"/>
      <c r="ABY12" s="203"/>
      <c r="ABZ12" s="203"/>
      <c r="ACA12" s="203"/>
      <c r="ACB12" s="203"/>
      <c r="ACC12" s="203"/>
      <c r="ACD12" s="203"/>
      <c r="ACE12" s="203"/>
      <c r="ACF12" s="203"/>
      <c r="ACG12" s="203"/>
      <c r="ACH12" s="203"/>
      <c r="ACI12" s="203"/>
      <c r="ACJ12" s="203"/>
      <c r="ACK12" s="203"/>
      <c r="ACL12" s="203"/>
      <c r="ACM12" s="203"/>
      <c r="ACN12" s="203"/>
      <c r="ACO12" s="203"/>
      <c r="ACP12" s="203"/>
      <c r="ACQ12" s="203"/>
      <c r="ACR12" s="203"/>
      <c r="ACS12" s="203"/>
      <c r="ACT12" s="203"/>
      <c r="ACU12" s="203"/>
      <c r="ACV12" s="203"/>
      <c r="ACW12" s="203"/>
      <c r="ACX12" s="203"/>
      <c r="ACY12" s="203"/>
      <c r="ACZ12" s="203"/>
      <c r="ADA12" s="203"/>
      <c r="ADB12" s="203"/>
      <c r="ADC12" s="203"/>
      <c r="ADD12" s="203"/>
      <c r="ADE12" s="203"/>
      <c r="ADF12" s="203"/>
      <c r="ADG12" s="203"/>
      <c r="ADH12" s="203"/>
      <c r="ADI12" s="203"/>
      <c r="ADJ12" s="203"/>
      <c r="ADK12" s="203"/>
      <c r="ADL12" s="203"/>
      <c r="ADM12" s="203"/>
      <c r="ADN12" s="203"/>
      <c r="ADO12" s="203"/>
      <c r="ADP12" s="203"/>
      <c r="ADQ12" s="203"/>
      <c r="ADR12" s="203"/>
      <c r="ADS12" s="203"/>
      <c r="ADT12" s="203"/>
      <c r="ADU12" s="203"/>
      <c r="ADV12" s="203"/>
      <c r="ADW12" s="203"/>
      <c r="ADX12" s="203"/>
      <c r="ADY12" s="203"/>
      <c r="ADZ12" s="203"/>
      <c r="AEA12" s="203"/>
      <c r="AEB12" s="203"/>
      <c r="AEC12" s="203"/>
      <c r="AED12" s="203"/>
      <c r="AEE12" s="203"/>
      <c r="AEF12" s="203"/>
      <c r="AEG12" s="203"/>
      <c r="AEH12" s="203"/>
      <c r="AEI12" s="203"/>
      <c r="AEJ12" s="203"/>
      <c r="AEK12" s="203"/>
      <c r="AEL12" s="203"/>
      <c r="AEM12" s="203"/>
      <c r="AEN12" s="203"/>
      <c r="AEO12" s="203"/>
      <c r="AEP12" s="203"/>
      <c r="AEQ12" s="203"/>
      <c r="AER12" s="203"/>
      <c r="AES12" s="203"/>
      <c r="AET12" s="203"/>
      <c r="AEU12" s="203"/>
      <c r="AEV12" s="203"/>
      <c r="AEW12" s="203"/>
      <c r="AEX12" s="203"/>
      <c r="AEY12" s="203"/>
      <c r="AEZ12" s="203"/>
      <c r="AFA12" s="203"/>
      <c r="AFB12" s="203"/>
      <c r="AFC12" s="203"/>
      <c r="AFD12" s="203"/>
      <c r="AFE12" s="203"/>
      <c r="AFF12" s="203"/>
      <c r="AFG12" s="203"/>
      <c r="AFH12" s="203"/>
      <c r="AFI12" s="203"/>
      <c r="AFJ12" s="203"/>
      <c r="AFK12" s="203"/>
      <c r="AFL12" s="203"/>
      <c r="AFM12" s="203"/>
      <c r="AFN12" s="90"/>
    </row>
    <row r="13" spans="1:846" ht="42.75" customHeight="1" thickBot="1" x14ac:dyDescent="0.3">
      <c r="B13" s="96"/>
      <c r="C13" s="221" t="s">
        <v>7</v>
      </c>
      <c r="D13" s="144"/>
      <c r="E13" s="223" t="s">
        <v>41</v>
      </c>
      <c r="F13" s="204" t="s">
        <v>8</v>
      </c>
      <c r="G13" s="205"/>
      <c r="H13" s="205"/>
      <c r="I13" s="205"/>
      <c r="J13" s="205"/>
      <c r="K13" s="205"/>
      <c r="L13" s="205"/>
      <c r="M13" s="205"/>
      <c r="N13" s="205"/>
      <c r="O13" s="205"/>
      <c r="P13" s="205"/>
      <c r="Q13" s="205"/>
      <c r="R13" s="205"/>
      <c r="S13" s="205"/>
      <c r="T13" s="205"/>
      <c r="U13" s="205"/>
      <c r="V13" s="205"/>
      <c r="W13" s="205"/>
      <c r="X13" s="205"/>
      <c r="Y13" s="205"/>
      <c r="Z13" s="205"/>
      <c r="AA13" s="205"/>
      <c r="AB13" s="205"/>
      <c r="AC13" s="205"/>
      <c r="AD13" s="205"/>
      <c r="AE13" s="205"/>
      <c r="AF13" s="205"/>
      <c r="AG13" s="205"/>
      <c r="AH13" s="205"/>
      <c r="AI13" s="205"/>
      <c r="AJ13" s="205"/>
      <c r="AK13" s="205"/>
      <c r="AL13" s="205"/>
      <c r="AM13" s="205"/>
      <c r="AN13" s="205"/>
      <c r="AO13" s="205"/>
      <c r="AP13" s="205"/>
      <c r="AQ13" s="205"/>
      <c r="AR13" s="205"/>
      <c r="AS13" s="205"/>
      <c r="AT13" s="205"/>
      <c r="AU13" s="205"/>
      <c r="AV13" s="205"/>
      <c r="AW13" s="205"/>
      <c r="AX13" s="205"/>
      <c r="AY13" s="205"/>
      <c r="AZ13" s="205"/>
      <c r="BA13" s="205"/>
      <c r="BB13" s="205"/>
      <c r="BC13" s="205"/>
      <c r="BD13" s="205"/>
      <c r="BE13" s="205"/>
      <c r="BF13" s="205"/>
      <c r="BG13" s="205"/>
      <c r="BH13" s="205"/>
      <c r="BI13" s="205"/>
      <c r="BJ13" s="205"/>
      <c r="BK13" s="205"/>
      <c r="BL13" s="205"/>
      <c r="BM13" s="206"/>
      <c r="BN13" s="204" t="s">
        <v>28</v>
      </c>
      <c r="BO13" s="205"/>
      <c r="BP13" s="205"/>
      <c r="BQ13" s="205"/>
      <c r="BR13" s="205"/>
      <c r="BS13" s="205"/>
      <c r="BT13" s="205"/>
      <c r="BU13" s="205"/>
      <c r="BV13" s="205"/>
      <c r="BW13" s="205"/>
      <c r="BX13" s="205"/>
      <c r="BY13" s="205"/>
      <c r="BZ13" s="205"/>
      <c r="CA13" s="205"/>
      <c r="CB13" s="205"/>
      <c r="CC13" s="205"/>
      <c r="CD13" s="205"/>
      <c r="CE13" s="205"/>
      <c r="CF13" s="205"/>
      <c r="CG13" s="205"/>
      <c r="CH13" s="205"/>
      <c r="CI13" s="205"/>
      <c r="CJ13" s="205"/>
      <c r="CK13" s="205"/>
      <c r="CL13" s="205"/>
      <c r="CM13" s="205"/>
      <c r="CN13" s="205"/>
      <c r="CO13" s="205"/>
      <c r="CP13" s="205"/>
      <c r="CQ13" s="205"/>
      <c r="CR13" s="205"/>
      <c r="CS13" s="205"/>
      <c r="CT13" s="205"/>
      <c r="CU13" s="205"/>
      <c r="CV13" s="205"/>
      <c r="CW13" s="205"/>
      <c r="CX13" s="205"/>
      <c r="CY13" s="205"/>
      <c r="CZ13" s="205"/>
      <c r="DA13" s="205"/>
      <c r="DB13" s="205"/>
      <c r="DC13" s="205"/>
      <c r="DD13" s="205"/>
      <c r="DE13" s="205"/>
      <c r="DF13" s="205"/>
      <c r="DG13" s="205"/>
      <c r="DH13" s="205"/>
      <c r="DI13" s="205"/>
      <c r="DJ13" s="205"/>
      <c r="DK13" s="205"/>
      <c r="DL13" s="205"/>
      <c r="DM13" s="205"/>
      <c r="DN13" s="205"/>
      <c r="DO13" s="205"/>
      <c r="DP13" s="205"/>
      <c r="DQ13" s="205"/>
      <c r="DR13" s="205"/>
      <c r="DS13" s="205"/>
      <c r="DT13" s="205"/>
      <c r="DU13" s="206"/>
      <c r="DV13" s="204" t="s">
        <v>19</v>
      </c>
      <c r="DW13" s="205"/>
      <c r="DX13" s="205"/>
      <c r="DY13" s="205"/>
      <c r="DZ13" s="205"/>
      <c r="EA13" s="205"/>
      <c r="EB13" s="205"/>
      <c r="EC13" s="205"/>
      <c r="ED13" s="205"/>
      <c r="EE13" s="205"/>
      <c r="EF13" s="205"/>
      <c r="EG13" s="205"/>
      <c r="EH13" s="205"/>
      <c r="EI13" s="205"/>
      <c r="EJ13" s="205"/>
      <c r="EK13" s="205"/>
      <c r="EL13" s="205"/>
      <c r="EM13" s="205"/>
      <c r="EN13" s="205"/>
      <c r="EO13" s="205"/>
      <c r="EP13" s="205"/>
      <c r="EQ13" s="205"/>
      <c r="ER13" s="205"/>
      <c r="ES13" s="205"/>
      <c r="ET13" s="205"/>
      <c r="EU13" s="205"/>
      <c r="EV13" s="205"/>
      <c r="EW13" s="205"/>
      <c r="EX13" s="205"/>
      <c r="EY13" s="205"/>
      <c r="EZ13" s="205"/>
      <c r="FA13" s="205"/>
      <c r="FB13" s="205"/>
      <c r="FC13" s="205"/>
      <c r="FD13" s="205"/>
      <c r="FE13" s="205"/>
      <c r="FF13" s="205"/>
      <c r="FG13" s="205"/>
      <c r="FH13" s="205"/>
      <c r="FI13" s="205"/>
      <c r="FJ13" s="205"/>
      <c r="FK13" s="205"/>
      <c r="FL13" s="205"/>
      <c r="FM13" s="205"/>
      <c r="FN13" s="205"/>
      <c r="FO13" s="205"/>
      <c r="FP13" s="205"/>
      <c r="FQ13" s="205"/>
      <c r="FR13" s="205"/>
      <c r="FS13" s="205"/>
      <c r="FT13" s="205"/>
      <c r="FU13" s="205"/>
      <c r="FV13" s="205"/>
      <c r="FW13" s="205"/>
      <c r="FX13" s="205"/>
      <c r="FY13" s="205"/>
      <c r="FZ13" s="205"/>
      <c r="GA13" s="205"/>
      <c r="GB13" s="205"/>
      <c r="GC13" s="206"/>
      <c r="GD13" s="204" t="s">
        <v>79</v>
      </c>
      <c r="GE13" s="205"/>
      <c r="GF13" s="205"/>
      <c r="GG13" s="205"/>
      <c r="GH13" s="205"/>
      <c r="GI13" s="205"/>
      <c r="GJ13" s="205"/>
      <c r="GK13" s="205"/>
      <c r="GL13" s="205"/>
      <c r="GM13" s="205"/>
      <c r="GN13" s="205"/>
      <c r="GO13" s="205"/>
      <c r="GP13" s="205"/>
      <c r="GQ13" s="205"/>
      <c r="GR13" s="205"/>
      <c r="GS13" s="205"/>
      <c r="GT13" s="205"/>
      <c r="GU13" s="205"/>
      <c r="GV13" s="205"/>
      <c r="GW13" s="205"/>
      <c r="GX13" s="205"/>
      <c r="GY13" s="205"/>
      <c r="GZ13" s="205"/>
      <c r="HA13" s="205"/>
      <c r="HB13" s="205"/>
      <c r="HC13" s="205"/>
      <c r="HD13" s="205"/>
      <c r="HE13" s="205"/>
      <c r="HF13" s="205"/>
      <c r="HG13" s="205"/>
      <c r="HH13" s="205"/>
      <c r="HI13" s="205"/>
      <c r="HJ13" s="205"/>
      <c r="HK13" s="205"/>
      <c r="HL13" s="205"/>
      <c r="HM13" s="205"/>
      <c r="HN13" s="205"/>
      <c r="HO13" s="205"/>
      <c r="HP13" s="205"/>
      <c r="HQ13" s="205"/>
      <c r="HR13" s="205"/>
      <c r="HS13" s="205"/>
      <c r="HT13" s="205"/>
      <c r="HU13" s="205"/>
      <c r="HV13" s="205"/>
      <c r="HW13" s="205"/>
      <c r="HX13" s="205"/>
      <c r="HY13" s="205"/>
      <c r="HZ13" s="205"/>
      <c r="IA13" s="205"/>
      <c r="IB13" s="205"/>
      <c r="IC13" s="205"/>
      <c r="ID13" s="205"/>
      <c r="IE13" s="205"/>
      <c r="IF13" s="205"/>
      <c r="IG13" s="205"/>
      <c r="IH13" s="205"/>
      <c r="II13" s="205"/>
      <c r="IJ13" s="205"/>
      <c r="IK13" s="206"/>
      <c r="IL13" s="204" t="s">
        <v>78</v>
      </c>
      <c r="IM13" s="205"/>
      <c r="IN13" s="205"/>
      <c r="IO13" s="205"/>
      <c r="IP13" s="205"/>
      <c r="IQ13" s="205"/>
      <c r="IR13" s="205"/>
      <c r="IS13" s="205"/>
      <c r="IT13" s="205"/>
      <c r="IU13" s="205"/>
      <c r="IV13" s="205"/>
      <c r="IW13" s="205"/>
      <c r="IX13" s="205"/>
      <c r="IY13" s="205"/>
      <c r="IZ13" s="205"/>
      <c r="JA13" s="205"/>
      <c r="JB13" s="205"/>
      <c r="JC13" s="205"/>
      <c r="JD13" s="205"/>
      <c r="JE13" s="205"/>
      <c r="JF13" s="205"/>
      <c r="JG13" s="205"/>
      <c r="JH13" s="205"/>
      <c r="JI13" s="205"/>
      <c r="JJ13" s="205"/>
      <c r="JK13" s="205"/>
      <c r="JL13" s="205"/>
      <c r="JM13" s="205"/>
      <c r="JN13" s="205"/>
      <c r="JO13" s="205"/>
      <c r="JP13" s="205"/>
      <c r="JQ13" s="205"/>
      <c r="JR13" s="205"/>
      <c r="JS13" s="205"/>
      <c r="JT13" s="205"/>
      <c r="JU13" s="205"/>
      <c r="JV13" s="205"/>
      <c r="JW13" s="205"/>
      <c r="JX13" s="205"/>
      <c r="JY13" s="205"/>
      <c r="JZ13" s="205"/>
      <c r="KA13" s="205"/>
      <c r="KB13" s="205"/>
      <c r="KC13" s="205"/>
      <c r="KD13" s="205"/>
      <c r="KE13" s="205"/>
      <c r="KF13" s="205"/>
      <c r="KG13" s="205"/>
      <c r="KH13" s="205"/>
      <c r="KI13" s="205"/>
      <c r="KJ13" s="205"/>
      <c r="KK13" s="205"/>
      <c r="KL13" s="205"/>
      <c r="KM13" s="205"/>
      <c r="KN13" s="205"/>
      <c r="KO13" s="205"/>
      <c r="KP13" s="205"/>
      <c r="KQ13" s="205"/>
      <c r="KR13" s="205"/>
      <c r="KS13" s="206"/>
      <c r="KT13" s="204" t="s">
        <v>77</v>
      </c>
      <c r="KU13" s="205"/>
      <c r="KV13" s="205"/>
      <c r="KW13" s="205"/>
      <c r="KX13" s="205"/>
      <c r="KY13" s="205"/>
      <c r="KZ13" s="205"/>
      <c r="LA13" s="205"/>
      <c r="LB13" s="205"/>
      <c r="LC13" s="205"/>
      <c r="LD13" s="205"/>
      <c r="LE13" s="205"/>
      <c r="LF13" s="205"/>
      <c r="LG13" s="205"/>
      <c r="LH13" s="205"/>
      <c r="LI13" s="205"/>
      <c r="LJ13" s="205"/>
      <c r="LK13" s="205"/>
      <c r="LL13" s="205"/>
      <c r="LM13" s="205"/>
      <c r="LN13" s="205"/>
      <c r="LO13" s="205"/>
      <c r="LP13" s="205"/>
      <c r="LQ13" s="205"/>
      <c r="LR13" s="205"/>
      <c r="LS13" s="205"/>
      <c r="LT13" s="205"/>
      <c r="LU13" s="205"/>
      <c r="LV13" s="205"/>
      <c r="LW13" s="205"/>
      <c r="LX13" s="205"/>
      <c r="LY13" s="205"/>
      <c r="LZ13" s="205"/>
      <c r="MA13" s="205"/>
      <c r="MB13" s="205"/>
      <c r="MC13" s="205"/>
      <c r="MD13" s="205"/>
      <c r="ME13" s="205"/>
      <c r="MF13" s="205"/>
      <c r="MG13" s="205"/>
      <c r="MH13" s="205"/>
      <c r="MI13" s="205"/>
      <c r="MJ13" s="205"/>
      <c r="MK13" s="205"/>
      <c r="ML13" s="205"/>
      <c r="MM13" s="205"/>
      <c r="MN13" s="205"/>
      <c r="MO13" s="205"/>
      <c r="MP13" s="205"/>
      <c r="MQ13" s="205"/>
      <c r="MR13" s="205"/>
      <c r="MS13" s="205"/>
      <c r="MT13" s="205"/>
      <c r="MU13" s="205"/>
      <c r="MV13" s="205"/>
      <c r="MW13" s="205"/>
      <c r="MX13" s="205"/>
      <c r="MY13" s="205"/>
      <c r="MZ13" s="205"/>
      <c r="NA13" s="206"/>
      <c r="NB13" s="204" t="s">
        <v>76</v>
      </c>
      <c r="NC13" s="205"/>
      <c r="ND13" s="205"/>
      <c r="NE13" s="205"/>
      <c r="NF13" s="205"/>
      <c r="NG13" s="205"/>
      <c r="NH13" s="205"/>
      <c r="NI13" s="205"/>
      <c r="NJ13" s="205"/>
      <c r="NK13" s="205"/>
      <c r="NL13" s="205"/>
      <c r="NM13" s="205"/>
      <c r="NN13" s="205"/>
      <c r="NO13" s="205"/>
      <c r="NP13" s="205"/>
      <c r="NQ13" s="205"/>
      <c r="NR13" s="205"/>
      <c r="NS13" s="205"/>
      <c r="NT13" s="205"/>
      <c r="NU13" s="205"/>
      <c r="NV13" s="205"/>
      <c r="NW13" s="205"/>
      <c r="NX13" s="205"/>
      <c r="NY13" s="205"/>
      <c r="NZ13" s="205"/>
      <c r="OA13" s="205"/>
      <c r="OB13" s="205"/>
      <c r="OC13" s="205"/>
      <c r="OD13" s="205"/>
      <c r="OE13" s="205"/>
      <c r="OF13" s="205"/>
      <c r="OG13" s="205"/>
      <c r="OH13" s="205"/>
      <c r="OI13" s="205"/>
      <c r="OJ13" s="205"/>
      <c r="OK13" s="205"/>
      <c r="OL13" s="205"/>
      <c r="OM13" s="205"/>
      <c r="ON13" s="205"/>
      <c r="OO13" s="205"/>
      <c r="OP13" s="205"/>
      <c r="OQ13" s="205"/>
      <c r="OR13" s="205"/>
      <c r="OS13" s="205"/>
      <c r="OT13" s="205"/>
      <c r="OU13" s="205"/>
      <c r="OV13" s="205"/>
      <c r="OW13" s="205"/>
      <c r="OX13" s="205"/>
      <c r="OY13" s="205"/>
      <c r="OZ13" s="205"/>
      <c r="PA13" s="205"/>
      <c r="PB13" s="205"/>
      <c r="PC13" s="205"/>
      <c r="PD13" s="205"/>
      <c r="PE13" s="205"/>
      <c r="PF13" s="205"/>
      <c r="PG13" s="205"/>
      <c r="PH13" s="205"/>
      <c r="PI13" s="206"/>
      <c r="PJ13" s="204" t="s">
        <v>89</v>
      </c>
      <c r="PK13" s="205"/>
      <c r="PL13" s="205"/>
      <c r="PM13" s="205"/>
      <c r="PN13" s="205"/>
      <c r="PO13" s="205"/>
      <c r="PP13" s="205"/>
      <c r="PQ13" s="205"/>
      <c r="PR13" s="205"/>
      <c r="PS13" s="205"/>
      <c r="PT13" s="205"/>
      <c r="PU13" s="205"/>
      <c r="PV13" s="205"/>
      <c r="PW13" s="205"/>
      <c r="PX13" s="205"/>
      <c r="PY13" s="205"/>
      <c r="PZ13" s="205"/>
      <c r="QA13" s="205"/>
      <c r="QB13" s="205"/>
      <c r="QC13" s="205"/>
      <c r="QD13" s="205"/>
      <c r="QE13" s="205"/>
      <c r="QF13" s="205"/>
      <c r="QG13" s="205"/>
      <c r="QH13" s="205"/>
      <c r="QI13" s="205"/>
      <c r="QJ13" s="205"/>
      <c r="QK13" s="205"/>
      <c r="QL13" s="205"/>
      <c r="QM13" s="205"/>
      <c r="QN13" s="205"/>
      <c r="QO13" s="205"/>
      <c r="QP13" s="205"/>
      <c r="QQ13" s="205"/>
      <c r="QR13" s="205"/>
      <c r="QS13" s="205"/>
      <c r="QT13" s="205"/>
      <c r="QU13" s="205"/>
      <c r="QV13" s="205"/>
      <c r="QW13" s="205"/>
      <c r="QX13" s="205"/>
      <c r="QY13" s="205"/>
      <c r="QZ13" s="205"/>
      <c r="RA13" s="205"/>
      <c r="RB13" s="205"/>
      <c r="RC13" s="205"/>
      <c r="RD13" s="205"/>
      <c r="RE13" s="205"/>
      <c r="RF13" s="205"/>
      <c r="RG13" s="205"/>
      <c r="RH13" s="205"/>
      <c r="RI13" s="205"/>
      <c r="RJ13" s="205"/>
      <c r="RK13" s="205"/>
      <c r="RL13" s="205"/>
      <c r="RM13" s="205"/>
      <c r="RN13" s="205"/>
      <c r="RO13" s="205"/>
      <c r="RP13" s="205"/>
      <c r="RQ13" s="206"/>
      <c r="RR13" s="204" t="s">
        <v>91</v>
      </c>
      <c r="RS13" s="205"/>
      <c r="RT13" s="205"/>
      <c r="RU13" s="205"/>
      <c r="RV13" s="205"/>
      <c r="RW13" s="205"/>
      <c r="RX13" s="205"/>
      <c r="RY13" s="205"/>
      <c r="RZ13" s="205"/>
      <c r="SA13" s="205"/>
      <c r="SB13" s="205"/>
      <c r="SC13" s="205"/>
      <c r="SD13" s="205"/>
      <c r="SE13" s="205"/>
      <c r="SF13" s="205"/>
      <c r="SG13" s="205"/>
      <c r="SH13" s="205"/>
      <c r="SI13" s="205"/>
      <c r="SJ13" s="205"/>
      <c r="SK13" s="205"/>
      <c r="SL13" s="205"/>
      <c r="SM13" s="205"/>
      <c r="SN13" s="205"/>
      <c r="SO13" s="205"/>
      <c r="SP13" s="205"/>
      <c r="SQ13" s="205"/>
      <c r="SR13" s="205"/>
      <c r="SS13" s="205"/>
      <c r="ST13" s="205"/>
      <c r="SU13" s="205"/>
      <c r="SV13" s="205"/>
      <c r="SW13" s="205"/>
      <c r="SX13" s="205"/>
      <c r="SY13" s="205"/>
      <c r="SZ13" s="205"/>
      <c r="TA13" s="205"/>
      <c r="TB13" s="205"/>
      <c r="TC13" s="205"/>
      <c r="TD13" s="205"/>
      <c r="TE13" s="205"/>
      <c r="TF13" s="205"/>
      <c r="TG13" s="205"/>
      <c r="TH13" s="205"/>
      <c r="TI13" s="205"/>
      <c r="TJ13" s="205"/>
      <c r="TK13" s="205"/>
      <c r="TL13" s="205"/>
      <c r="TM13" s="205"/>
      <c r="TN13" s="205"/>
      <c r="TO13" s="205"/>
      <c r="TP13" s="205"/>
      <c r="TQ13" s="205"/>
      <c r="TR13" s="205"/>
      <c r="TS13" s="205"/>
      <c r="TT13" s="205"/>
      <c r="TU13" s="205"/>
      <c r="TV13" s="205"/>
      <c r="TW13" s="205"/>
      <c r="TX13" s="205"/>
      <c r="TY13" s="206"/>
      <c r="TZ13" s="204" t="s">
        <v>90</v>
      </c>
      <c r="UA13" s="205"/>
      <c r="UB13" s="205"/>
      <c r="UC13" s="205"/>
      <c r="UD13" s="205"/>
      <c r="UE13" s="205"/>
      <c r="UF13" s="205"/>
      <c r="UG13" s="205"/>
      <c r="UH13" s="205"/>
      <c r="UI13" s="205"/>
      <c r="UJ13" s="205"/>
      <c r="UK13" s="205"/>
      <c r="UL13" s="205"/>
      <c r="UM13" s="205"/>
      <c r="UN13" s="205"/>
      <c r="UO13" s="205"/>
      <c r="UP13" s="205"/>
      <c r="UQ13" s="205"/>
      <c r="UR13" s="205"/>
      <c r="US13" s="205"/>
      <c r="UT13" s="205"/>
      <c r="UU13" s="205"/>
      <c r="UV13" s="205"/>
      <c r="UW13" s="205"/>
      <c r="UX13" s="205"/>
      <c r="UY13" s="205"/>
      <c r="UZ13" s="205"/>
      <c r="VA13" s="205"/>
      <c r="VB13" s="205"/>
      <c r="VC13" s="205"/>
      <c r="VD13" s="205"/>
      <c r="VE13" s="205"/>
      <c r="VF13" s="205"/>
      <c r="VG13" s="205"/>
      <c r="VH13" s="205"/>
      <c r="VI13" s="205"/>
      <c r="VJ13" s="205"/>
      <c r="VK13" s="205"/>
      <c r="VL13" s="205"/>
      <c r="VM13" s="205"/>
      <c r="VN13" s="205"/>
      <c r="VO13" s="205"/>
      <c r="VP13" s="205"/>
      <c r="VQ13" s="205"/>
      <c r="VR13" s="205"/>
      <c r="VS13" s="205"/>
      <c r="VT13" s="205"/>
      <c r="VU13" s="205"/>
      <c r="VV13" s="205"/>
      <c r="VW13" s="205"/>
      <c r="VX13" s="205"/>
      <c r="VY13" s="205"/>
      <c r="VZ13" s="205"/>
      <c r="WA13" s="205"/>
      <c r="WB13" s="205"/>
      <c r="WC13" s="205"/>
      <c r="WD13" s="205"/>
      <c r="WE13" s="205"/>
      <c r="WF13" s="205"/>
      <c r="WG13" s="206"/>
      <c r="WH13" s="204" t="s">
        <v>96</v>
      </c>
      <c r="WI13" s="205"/>
      <c r="WJ13" s="205"/>
      <c r="WK13" s="205"/>
      <c r="WL13" s="205"/>
      <c r="WM13" s="205"/>
      <c r="WN13" s="205"/>
      <c r="WO13" s="205"/>
      <c r="WP13" s="205"/>
      <c r="WQ13" s="205"/>
      <c r="WR13" s="205"/>
      <c r="WS13" s="205"/>
      <c r="WT13" s="205"/>
      <c r="WU13" s="205"/>
      <c r="WV13" s="205"/>
      <c r="WW13" s="205"/>
      <c r="WX13" s="205"/>
      <c r="WY13" s="205"/>
      <c r="WZ13" s="205"/>
      <c r="XA13" s="205"/>
      <c r="XB13" s="205"/>
      <c r="XC13" s="205"/>
      <c r="XD13" s="205"/>
      <c r="XE13" s="205"/>
      <c r="XF13" s="205"/>
      <c r="XG13" s="205"/>
      <c r="XH13" s="205"/>
      <c r="XI13" s="205"/>
      <c r="XJ13" s="205"/>
      <c r="XK13" s="205"/>
      <c r="XL13" s="205"/>
      <c r="XM13" s="205"/>
      <c r="XN13" s="205"/>
      <c r="XO13" s="205"/>
      <c r="XP13" s="205"/>
      <c r="XQ13" s="205"/>
      <c r="XR13" s="205"/>
      <c r="XS13" s="205"/>
      <c r="XT13" s="205"/>
      <c r="XU13" s="205"/>
      <c r="XV13" s="205"/>
      <c r="XW13" s="205"/>
      <c r="XX13" s="205"/>
      <c r="XY13" s="205"/>
      <c r="XZ13" s="205"/>
      <c r="YA13" s="205"/>
      <c r="YB13" s="205"/>
      <c r="YC13" s="205"/>
      <c r="YD13" s="205"/>
      <c r="YE13" s="205"/>
      <c r="YF13" s="205"/>
      <c r="YG13" s="205"/>
      <c r="YH13" s="205"/>
      <c r="YI13" s="205"/>
      <c r="YJ13" s="205"/>
      <c r="YK13" s="205"/>
      <c r="YL13" s="205"/>
      <c r="YM13" s="205"/>
      <c r="YN13" s="205"/>
      <c r="YO13" s="206"/>
      <c r="YP13" s="204" t="s">
        <v>97</v>
      </c>
      <c r="YQ13" s="205"/>
      <c r="YR13" s="205"/>
      <c r="YS13" s="205"/>
      <c r="YT13" s="205"/>
      <c r="YU13" s="205"/>
      <c r="YV13" s="205"/>
      <c r="YW13" s="205"/>
      <c r="YX13" s="205"/>
      <c r="YY13" s="205"/>
      <c r="YZ13" s="205"/>
      <c r="ZA13" s="205"/>
      <c r="ZB13" s="205"/>
      <c r="ZC13" s="205"/>
      <c r="ZD13" s="205"/>
      <c r="ZE13" s="205"/>
      <c r="ZF13" s="205"/>
      <c r="ZG13" s="205"/>
      <c r="ZH13" s="205"/>
      <c r="ZI13" s="205"/>
      <c r="ZJ13" s="205"/>
      <c r="ZK13" s="205"/>
      <c r="ZL13" s="205"/>
      <c r="ZM13" s="205"/>
      <c r="ZN13" s="205"/>
      <c r="ZO13" s="205"/>
      <c r="ZP13" s="205"/>
      <c r="ZQ13" s="205"/>
      <c r="ZR13" s="205"/>
      <c r="ZS13" s="205"/>
      <c r="ZT13" s="205"/>
      <c r="ZU13" s="205"/>
      <c r="ZV13" s="205"/>
      <c r="ZW13" s="205"/>
      <c r="ZX13" s="205"/>
      <c r="ZY13" s="205"/>
      <c r="ZZ13" s="205"/>
      <c r="AAA13" s="205"/>
      <c r="AAB13" s="205"/>
      <c r="AAC13" s="205"/>
      <c r="AAD13" s="205"/>
      <c r="AAE13" s="205"/>
      <c r="AAF13" s="205"/>
      <c r="AAG13" s="205"/>
      <c r="AAH13" s="205"/>
      <c r="AAI13" s="205"/>
      <c r="AAJ13" s="205"/>
      <c r="AAK13" s="205"/>
      <c r="AAL13" s="205"/>
      <c r="AAM13" s="205"/>
      <c r="AAN13" s="205"/>
      <c r="AAO13" s="205"/>
      <c r="AAP13" s="205"/>
      <c r="AAQ13" s="205"/>
      <c r="AAR13" s="205"/>
      <c r="AAS13" s="205"/>
      <c r="AAT13" s="205"/>
      <c r="AAU13" s="205"/>
      <c r="AAV13" s="205"/>
      <c r="AAW13" s="206"/>
      <c r="AAX13" s="204" t="s">
        <v>111</v>
      </c>
      <c r="AAY13" s="205"/>
      <c r="AAZ13" s="205"/>
      <c r="ABA13" s="205"/>
      <c r="ABB13" s="205"/>
      <c r="ABC13" s="205"/>
      <c r="ABD13" s="205"/>
      <c r="ABE13" s="205"/>
      <c r="ABF13" s="205"/>
      <c r="ABG13" s="205"/>
      <c r="ABH13" s="205"/>
      <c r="ABI13" s="205"/>
      <c r="ABJ13" s="205"/>
      <c r="ABK13" s="205"/>
      <c r="ABL13" s="205"/>
      <c r="ABM13" s="205"/>
      <c r="ABN13" s="205"/>
      <c r="ABO13" s="205"/>
      <c r="ABP13" s="205"/>
      <c r="ABQ13" s="205"/>
      <c r="ABR13" s="205"/>
      <c r="ABS13" s="205"/>
      <c r="ABT13" s="205"/>
      <c r="ABU13" s="205"/>
      <c r="ABV13" s="205"/>
      <c r="ABW13" s="205"/>
      <c r="ABX13" s="205"/>
      <c r="ABY13" s="205"/>
      <c r="ABZ13" s="205"/>
      <c r="ACA13" s="205"/>
      <c r="ACB13" s="205"/>
      <c r="ACC13" s="205"/>
      <c r="ACD13" s="205"/>
      <c r="ACE13" s="205"/>
      <c r="ACF13" s="205"/>
      <c r="ACG13" s="205"/>
      <c r="ACH13" s="205"/>
      <c r="ACI13" s="205"/>
      <c r="ACJ13" s="205"/>
      <c r="ACK13" s="205"/>
      <c r="ACL13" s="205"/>
      <c r="ACM13" s="205"/>
      <c r="ACN13" s="205"/>
      <c r="ACO13" s="205"/>
      <c r="ACP13" s="205"/>
      <c r="ACQ13" s="205"/>
      <c r="ACR13" s="205"/>
      <c r="ACS13" s="205"/>
      <c r="ACT13" s="205"/>
      <c r="ACU13" s="205"/>
      <c r="ACV13" s="205"/>
      <c r="ACW13" s="205"/>
      <c r="ACX13" s="205"/>
      <c r="ACY13" s="205"/>
      <c r="ACZ13" s="205"/>
      <c r="ADA13" s="205"/>
      <c r="ADB13" s="205"/>
      <c r="ADC13" s="205"/>
      <c r="ADD13" s="205"/>
      <c r="ADE13" s="206"/>
      <c r="ADF13" s="204" t="s">
        <v>110</v>
      </c>
      <c r="ADG13" s="205"/>
      <c r="ADH13" s="205"/>
      <c r="ADI13" s="205"/>
      <c r="ADJ13" s="205"/>
      <c r="ADK13" s="205"/>
      <c r="ADL13" s="205"/>
      <c r="ADM13" s="205"/>
      <c r="ADN13" s="205"/>
      <c r="ADO13" s="205"/>
      <c r="ADP13" s="205"/>
      <c r="ADQ13" s="205"/>
      <c r="ADR13" s="205"/>
      <c r="ADS13" s="205"/>
      <c r="ADT13" s="205"/>
      <c r="ADU13" s="205"/>
      <c r="ADV13" s="205"/>
      <c r="ADW13" s="205"/>
      <c r="ADX13" s="205"/>
      <c r="ADY13" s="205"/>
      <c r="ADZ13" s="205"/>
      <c r="AEA13" s="205"/>
      <c r="AEB13" s="205"/>
      <c r="AEC13" s="205"/>
      <c r="AED13" s="205"/>
      <c r="AEE13" s="205"/>
      <c r="AEF13" s="205"/>
      <c r="AEG13" s="205"/>
      <c r="AEH13" s="205"/>
      <c r="AEI13" s="205"/>
      <c r="AEJ13" s="205"/>
      <c r="AEK13" s="205"/>
      <c r="AEL13" s="205"/>
      <c r="AEM13" s="205"/>
      <c r="AEN13" s="205"/>
      <c r="AEO13" s="205"/>
      <c r="AEP13" s="205"/>
      <c r="AEQ13" s="205"/>
      <c r="AER13" s="205"/>
      <c r="AES13" s="205"/>
      <c r="AET13" s="205"/>
      <c r="AEU13" s="205"/>
      <c r="AEV13" s="205"/>
      <c r="AEW13" s="205"/>
      <c r="AEX13" s="205"/>
      <c r="AEY13" s="205"/>
      <c r="AEZ13" s="205"/>
      <c r="AFA13" s="205"/>
      <c r="AFB13" s="205"/>
      <c r="AFC13" s="205"/>
      <c r="AFD13" s="205"/>
      <c r="AFE13" s="205"/>
      <c r="AFF13" s="205"/>
      <c r="AFG13" s="205"/>
      <c r="AFH13" s="205"/>
      <c r="AFI13" s="205"/>
      <c r="AFJ13" s="205"/>
      <c r="AFK13" s="205"/>
      <c r="AFL13" s="205"/>
      <c r="AFM13" s="206"/>
      <c r="AFN13" s="90"/>
    </row>
    <row r="14" spans="1:846" ht="12.75" customHeight="1" thickBot="1" x14ac:dyDescent="0.35">
      <c r="B14" s="96"/>
      <c r="C14" s="222"/>
      <c r="D14" s="145"/>
      <c r="E14" s="224"/>
      <c r="F14" s="103"/>
      <c r="G14" s="104"/>
      <c r="H14" s="104"/>
      <c r="I14" s="104"/>
      <c r="J14" s="207" t="s">
        <v>36</v>
      </c>
      <c r="K14" s="207"/>
      <c r="L14" s="207"/>
      <c r="M14" s="207"/>
      <c r="N14" s="104"/>
      <c r="O14" s="104"/>
      <c r="P14" s="208" t="s">
        <v>24</v>
      </c>
      <c r="Q14" s="208"/>
      <c r="R14" s="208"/>
      <c r="S14" s="208"/>
      <c r="T14" s="129"/>
      <c r="U14" s="129"/>
      <c r="V14" s="207" t="s">
        <v>37</v>
      </c>
      <c r="W14" s="207"/>
      <c r="X14" s="207"/>
      <c r="Y14" s="207"/>
      <c r="Z14" s="104"/>
      <c r="AA14" s="104"/>
      <c r="AB14" s="208" t="s">
        <v>25</v>
      </c>
      <c r="AC14" s="208"/>
      <c r="AD14" s="208"/>
      <c r="AE14" s="208"/>
      <c r="AF14" s="129"/>
      <c r="AG14" s="129"/>
      <c r="AH14" s="207" t="s">
        <v>38</v>
      </c>
      <c r="AI14" s="207"/>
      <c r="AJ14" s="207"/>
      <c r="AK14" s="207"/>
      <c r="AL14" s="104"/>
      <c r="AM14" s="104"/>
      <c r="AN14" s="208" t="s">
        <v>26</v>
      </c>
      <c r="AO14" s="208"/>
      <c r="AP14" s="208"/>
      <c r="AQ14" s="208"/>
      <c r="AR14" s="129"/>
      <c r="AS14" s="129"/>
      <c r="AT14" s="207" t="s">
        <v>39</v>
      </c>
      <c r="AU14" s="207"/>
      <c r="AV14" s="207"/>
      <c r="AW14" s="207"/>
      <c r="AX14" s="104"/>
      <c r="AY14" s="104"/>
      <c r="AZ14" s="208" t="s">
        <v>27</v>
      </c>
      <c r="BA14" s="208"/>
      <c r="BB14" s="208"/>
      <c r="BC14" s="208"/>
      <c r="BD14" s="129"/>
      <c r="BE14" s="129"/>
      <c r="BF14" s="207" t="s">
        <v>40</v>
      </c>
      <c r="BG14" s="207"/>
      <c r="BH14" s="207"/>
      <c r="BI14" s="207"/>
      <c r="BJ14" s="104"/>
      <c r="BK14" s="104"/>
      <c r="BL14" s="104"/>
      <c r="BM14" s="105"/>
      <c r="BN14" s="103"/>
      <c r="BO14" s="104"/>
      <c r="BP14" s="104"/>
      <c r="BQ14" s="104"/>
      <c r="BR14" s="207" t="s">
        <v>36</v>
      </c>
      <c r="BS14" s="207"/>
      <c r="BT14" s="207"/>
      <c r="BU14" s="207"/>
      <c r="BV14" s="104"/>
      <c r="BW14" s="104"/>
      <c r="BX14" s="208" t="s">
        <v>24</v>
      </c>
      <c r="BY14" s="208"/>
      <c r="BZ14" s="208"/>
      <c r="CA14" s="208"/>
      <c r="CB14" s="129"/>
      <c r="CC14" s="129"/>
      <c r="CD14" s="207" t="s">
        <v>37</v>
      </c>
      <c r="CE14" s="207"/>
      <c r="CF14" s="207"/>
      <c r="CG14" s="207"/>
      <c r="CH14" s="104"/>
      <c r="CI14" s="104"/>
      <c r="CJ14" s="208" t="s">
        <v>25</v>
      </c>
      <c r="CK14" s="208"/>
      <c r="CL14" s="208"/>
      <c r="CM14" s="208"/>
      <c r="CN14" s="129"/>
      <c r="CO14" s="129"/>
      <c r="CP14" s="207" t="s">
        <v>38</v>
      </c>
      <c r="CQ14" s="207"/>
      <c r="CR14" s="207"/>
      <c r="CS14" s="207"/>
      <c r="CT14" s="104"/>
      <c r="CU14" s="104"/>
      <c r="CV14" s="208" t="s">
        <v>26</v>
      </c>
      <c r="CW14" s="208"/>
      <c r="CX14" s="208"/>
      <c r="CY14" s="208"/>
      <c r="CZ14" s="129"/>
      <c r="DA14" s="129"/>
      <c r="DB14" s="207" t="s">
        <v>39</v>
      </c>
      <c r="DC14" s="207"/>
      <c r="DD14" s="207"/>
      <c r="DE14" s="207"/>
      <c r="DF14" s="104"/>
      <c r="DG14" s="104"/>
      <c r="DH14" s="208" t="s">
        <v>27</v>
      </c>
      <c r="DI14" s="208"/>
      <c r="DJ14" s="208"/>
      <c r="DK14" s="208"/>
      <c r="DL14" s="129"/>
      <c r="DM14" s="129"/>
      <c r="DN14" s="207" t="s">
        <v>40</v>
      </c>
      <c r="DO14" s="207"/>
      <c r="DP14" s="207"/>
      <c r="DQ14" s="207"/>
      <c r="DR14" s="104"/>
      <c r="DS14" s="104"/>
      <c r="DT14" s="104"/>
      <c r="DU14" s="105"/>
      <c r="DV14" s="103"/>
      <c r="DW14" s="104"/>
      <c r="DX14" s="104"/>
      <c r="DY14" s="104"/>
      <c r="DZ14" s="207" t="s">
        <v>36</v>
      </c>
      <c r="EA14" s="207"/>
      <c r="EB14" s="207"/>
      <c r="EC14" s="207"/>
      <c r="ED14" s="104"/>
      <c r="EE14" s="104"/>
      <c r="EF14" s="208" t="s">
        <v>24</v>
      </c>
      <c r="EG14" s="208"/>
      <c r="EH14" s="208"/>
      <c r="EI14" s="208"/>
      <c r="EJ14" s="129"/>
      <c r="EK14" s="129"/>
      <c r="EL14" s="207" t="s">
        <v>37</v>
      </c>
      <c r="EM14" s="207"/>
      <c r="EN14" s="207"/>
      <c r="EO14" s="207"/>
      <c r="EP14" s="104"/>
      <c r="EQ14" s="104"/>
      <c r="ER14" s="208" t="s">
        <v>25</v>
      </c>
      <c r="ES14" s="208"/>
      <c r="ET14" s="208"/>
      <c r="EU14" s="208"/>
      <c r="EV14" s="129"/>
      <c r="EW14" s="129"/>
      <c r="EX14" s="207" t="s">
        <v>38</v>
      </c>
      <c r="EY14" s="207"/>
      <c r="EZ14" s="207"/>
      <c r="FA14" s="207"/>
      <c r="FB14" s="104"/>
      <c r="FC14" s="104"/>
      <c r="FD14" s="208" t="s">
        <v>26</v>
      </c>
      <c r="FE14" s="208"/>
      <c r="FF14" s="208"/>
      <c r="FG14" s="208"/>
      <c r="FH14" s="129"/>
      <c r="FI14" s="129"/>
      <c r="FJ14" s="207" t="s">
        <v>39</v>
      </c>
      <c r="FK14" s="207"/>
      <c r="FL14" s="207"/>
      <c r="FM14" s="207"/>
      <c r="FN14" s="104"/>
      <c r="FO14" s="104"/>
      <c r="FP14" s="208" t="s">
        <v>27</v>
      </c>
      <c r="FQ14" s="208"/>
      <c r="FR14" s="208"/>
      <c r="FS14" s="208"/>
      <c r="FT14" s="129"/>
      <c r="FU14" s="129"/>
      <c r="FV14" s="207" t="s">
        <v>40</v>
      </c>
      <c r="FW14" s="207"/>
      <c r="FX14" s="207"/>
      <c r="FY14" s="207"/>
      <c r="FZ14" s="104"/>
      <c r="GA14" s="104"/>
      <c r="GB14" s="104"/>
      <c r="GC14" s="105"/>
      <c r="GD14" s="103"/>
      <c r="GE14" s="104"/>
      <c r="GF14" s="104"/>
      <c r="GG14" s="104"/>
      <c r="GH14" s="207" t="s">
        <v>36</v>
      </c>
      <c r="GI14" s="207"/>
      <c r="GJ14" s="207"/>
      <c r="GK14" s="207"/>
      <c r="GL14" s="104"/>
      <c r="GM14" s="104"/>
      <c r="GN14" s="208" t="s">
        <v>24</v>
      </c>
      <c r="GO14" s="208"/>
      <c r="GP14" s="208"/>
      <c r="GQ14" s="208"/>
      <c r="GR14" s="129"/>
      <c r="GS14" s="129"/>
      <c r="GT14" s="207" t="s">
        <v>37</v>
      </c>
      <c r="GU14" s="207"/>
      <c r="GV14" s="207"/>
      <c r="GW14" s="207"/>
      <c r="GX14" s="104"/>
      <c r="GY14" s="104"/>
      <c r="GZ14" s="208" t="s">
        <v>25</v>
      </c>
      <c r="HA14" s="208"/>
      <c r="HB14" s="208"/>
      <c r="HC14" s="208"/>
      <c r="HD14" s="129"/>
      <c r="HE14" s="129"/>
      <c r="HF14" s="207" t="s">
        <v>38</v>
      </c>
      <c r="HG14" s="207"/>
      <c r="HH14" s="207"/>
      <c r="HI14" s="207"/>
      <c r="HJ14" s="104"/>
      <c r="HK14" s="104"/>
      <c r="HL14" s="208" t="s">
        <v>26</v>
      </c>
      <c r="HM14" s="208"/>
      <c r="HN14" s="208"/>
      <c r="HO14" s="208"/>
      <c r="HP14" s="129"/>
      <c r="HQ14" s="129"/>
      <c r="HR14" s="207" t="s">
        <v>39</v>
      </c>
      <c r="HS14" s="207"/>
      <c r="HT14" s="207"/>
      <c r="HU14" s="207"/>
      <c r="HV14" s="104"/>
      <c r="HW14" s="104"/>
      <c r="HX14" s="208" t="s">
        <v>27</v>
      </c>
      <c r="HY14" s="208"/>
      <c r="HZ14" s="208"/>
      <c r="IA14" s="208"/>
      <c r="IB14" s="129"/>
      <c r="IC14" s="129"/>
      <c r="ID14" s="207" t="s">
        <v>40</v>
      </c>
      <c r="IE14" s="207"/>
      <c r="IF14" s="207"/>
      <c r="IG14" s="207"/>
      <c r="IH14" s="104"/>
      <c r="II14" s="104"/>
      <c r="IJ14" s="104"/>
      <c r="IK14" s="105"/>
      <c r="IL14" s="103"/>
      <c r="IM14" s="104"/>
      <c r="IN14" s="104"/>
      <c r="IO14" s="104"/>
      <c r="IP14" s="207" t="s">
        <v>36</v>
      </c>
      <c r="IQ14" s="207"/>
      <c r="IR14" s="207"/>
      <c r="IS14" s="207"/>
      <c r="IT14" s="104"/>
      <c r="IU14" s="104"/>
      <c r="IV14" s="208" t="s">
        <v>24</v>
      </c>
      <c r="IW14" s="208"/>
      <c r="IX14" s="208"/>
      <c r="IY14" s="208"/>
      <c r="IZ14" s="129"/>
      <c r="JA14" s="129"/>
      <c r="JB14" s="207" t="s">
        <v>37</v>
      </c>
      <c r="JC14" s="207"/>
      <c r="JD14" s="207"/>
      <c r="JE14" s="207"/>
      <c r="JF14" s="104"/>
      <c r="JG14" s="104"/>
      <c r="JH14" s="208" t="s">
        <v>25</v>
      </c>
      <c r="JI14" s="208"/>
      <c r="JJ14" s="208"/>
      <c r="JK14" s="208"/>
      <c r="JL14" s="129"/>
      <c r="JM14" s="129"/>
      <c r="JN14" s="207" t="s">
        <v>38</v>
      </c>
      <c r="JO14" s="207"/>
      <c r="JP14" s="207"/>
      <c r="JQ14" s="207"/>
      <c r="JR14" s="104"/>
      <c r="JS14" s="104"/>
      <c r="JT14" s="208" t="s">
        <v>26</v>
      </c>
      <c r="JU14" s="208"/>
      <c r="JV14" s="208"/>
      <c r="JW14" s="208"/>
      <c r="JX14" s="129"/>
      <c r="JY14" s="129"/>
      <c r="JZ14" s="207" t="s">
        <v>39</v>
      </c>
      <c r="KA14" s="207"/>
      <c r="KB14" s="207"/>
      <c r="KC14" s="207"/>
      <c r="KD14" s="104"/>
      <c r="KE14" s="104"/>
      <c r="KF14" s="208" t="s">
        <v>27</v>
      </c>
      <c r="KG14" s="208"/>
      <c r="KH14" s="208"/>
      <c r="KI14" s="208"/>
      <c r="KJ14" s="129"/>
      <c r="KK14" s="129"/>
      <c r="KL14" s="207" t="s">
        <v>40</v>
      </c>
      <c r="KM14" s="207"/>
      <c r="KN14" s="207"/>
      <c r="KO14" s="207"/>
      <c r="KP14" s="104"/>
      <c r="KQ14" s="104"/>
      <c r="KR14" s="104"/>
      <c r="KS14" s="105"/>
      <c r="KT14" s="103"/>
      <c r="KU14" s="104"/>
      <c r="KV14" s="104"/>
      <c r="KW14" s="104"/>
      <c r="KX14" s="207" t="s">
        <v>36</v>
      </c>
      <c r="KY14" s="207"/>
      <c r="KZ14" s="207"/>
      <c r="LA14" s="207"/>
      <c r="LB14" s="104"/>
      <c r="LC14" s="104"/>
      <c r="LD14" s="208" t="s">
        <v>24</v>
      </c>
      <c r="LE14" s="208"/>
      <c r="LF14" s="208"/>
      <c r="LG14" s="208"/>
      <c r="LH14" s="129"/>
      <c r="LI14" s="129"/>
      <c r="LJ14" s="207" t="s">
        <v>37</v>
      </c>
      <c r="LK14" s="207"/>
      <c r="LL14" s="207"/>
      <c r="LM14" s="207"/>
      <c r="LN14" s="104"/>
      <c r="LO14" s="104"/>
      <c r="LP14" s="208" t="s">
        <v>25</v>
      </c>
      <c r="LQ14" s="208"/>
      <c r="LR14" s="208"/>
      <c r="LS14" s="208"/>
      <c r="LT14" s="129"/>
      <c r="LU14" s="129"/>
      <c r="LV14" s="207" t="s">
        <v>38</v>
      </c>
      <c r="LW14" s="207"/>
      <c r="LX14" s="207"/>
      <c r="LY14" s="207"/>
      <c r="LZ14" s="104"/>
      <c r="MA14" s="104"/>
      <c r="MB14" s="208" t="s">
        <v>26</v>
      </c>
      <c r="MC14" s="208"/>
      <c r="MD14" s="208"/>
      <c r="ME14" s="208"/>
      <c r="MF14" s="129"/>
      <c r="MG14" s="129"/>
      <c r="MH14" s="207" t="s">
        <v>39</v>
      </c>
      <c r="MI14" s="207"/>
      <c r="MJ14" s="207"/>
      <c r="MK14" s="207"/>
      <c r="ML14" s="104"/>
      <c r="MM14" s="104"/>
      <c r="MN14" s="208" t="s">
        <v>27</v>
      </c>
      <c r="MO14" s="208"/>
      <c r="MP14" s="208"/>
      <c r="MQ14" s="208"/>
      <c r="MR14" s="129"/>
      <c r="MS14" s="129"/>
      <c r="MT14" s="207" t="s">
        <v>40</v>
      </c>
      <c r="MU14" s="207"/>
      <c r="MV14" s="207"/>
      <c r="MW14" s="207"/>
      <c r="MX14" s="104"/>
      <c r="MY14" s="104"/>
      <c r="MZ14" s="104"/>
      <c r="NA14" s="105"/>
      <c r="NB14" s="103"/>
      <c r="NC14" s="104"/>
      <c r="ND14" s="104"/>
      <c r="NE14" s="104"/>
      <c r="NF14" s="207" t="s">
        <v>36</v>
      </c>
      <c r="NG14" s="207"/>
      <c r="NH14" s="207"/>
      <c r="NI14" s="207"/>
      <c r="NJ14" s="104"/>
      <c r="NK14" s="104"/>
      <c r="NL14" s="208" t="s">
        <v>24</v>
      </c>
      <c r="NM14" s="208"/>
      <c r="NN14" s="208"/>
      <c r="NO14" s="208"/>
      <c r="NP14" s="129"/>
      <c r="NQ14" s="129"/>
      <c r="NR14" s="207" t="s">
        <v>37</v>
      </c>
      <c r="NS14" s="207"/>
      <c r="NT14" s="207"/>
      <c r="NU14" s="207"/>
      <c r="NV14" s="104"/>
      <c r="NW14" s="104"/>
      <c r="NX14" s="208" t="s">
        <v>25</v>
      </c>
      <c r="NY14" s="208"/>
      <c r="NZ14" s="208"/>
      <c r="OA14" s="208"/>
      <c r="OB14" s="129"/>
      <c r="OC14" s="129"/>
      <c r="OD14" s="207" t="s">
        <v>38</v>
      </c>
      <c r="OE14" s="207"/>
      <c r="OF14" s="207"/>
      <c r="OG14" s="207"/>
      <c r="OH14" s="104"/>
      <c r="OI14" s="104"/>
      <c r="OJ14" s="208" t="s">
        <v>26</v>
      </c>
      <c r="OK14" s="208"/>
      <c r="OL14" s="208"/>
      <c r="OM14" s="208"/>
      <c r="ON14" s="129"/>
      <c r="OO14" s="129"/>
      <c r="OP14" s="207" t="s">
        <v>39</v>
      </c>
      <c r="OQ14" s="207"/>
      <c r="OR14" s="207"/>
      <c r="OS14" s="207"/>
      <c r="OT14" s="104"/>
      <c r="OU14" s="104"/>
      <c r="OV14" s="208" t="s">
        <v>27</v>
      </c>
      <c r="OW14" s="208"/>
      <c r="OX14" s="208"/>
      <c r="OY14" s="208"/>
      <c r="OZ14" s="129"/>
      <c r="PA14" s="129"/>
      <c r="PB14" s="207" t="s">
        <v>40</v>
      </c>
      <c r="PC14" s="207"/>
      <c r="PD14" s="207"/>
      <c r="PE14" s="207"/>
      <c r="PF14" s="104"/>
      <c r="PG14" s="104"/>
      <c r="PH14" s="104"/>
      <c r="PI14" s="105"/>
      <c r="PJ14" s="103"/>
      <c r="PK14" s="104"/>
      <c r="PL14" s="104"/>
      <c r="PM14" s="104"/>
      <c r="PN14" s="207" t="s">
        <v>36</v>
      </c>
      <c r="PO14" s="207"/>
      <c r="PP14" s="207"/>
      <c r="PQ14" s="207"/>
      <c r="PR14" s="104"/>
      <c r="PS14" s="104"/>
      <c r="PT14" s="208" t="s">
        <v>24</v>
      </c>
      <c r="PU14" s="208"/>
      <c r="PV14" s="208"/>
      <c r="PW14" s="208"/>
      <c r="PX14" s="129"/>
      <c r="PY14" s="129"/>
      <c r="PZ14" s="207" t="s">
        <v>37</v>
      </c>
      <c r="QA14" s="207"/>
      <c r="QB14" s="207"/>
      <c r="QC14" s="207"/>
      <c r="QD14" s="104"/>
      <c r="QE14" s="104"/>
      <c r="QF14" s="208" t="s">
        <v>25</v>
      </c>
      <c r="QG14" s="208"/>
      <c r="QH14" s="208"/>
      <c r="QI14" s="208"/>
      <c r="QJ14" s="129"/>
      <c r="QK14" s="129"/>
      <c r="QL14" s="207" t="s">
        <v>38</v>
      </c>
      <c r="QM14" s="207"/>
      <c r="QN14" s="207"/>
      <c r="QO14" s="207"/>
      <c r="QP14" s="104"/>
      <c r="QQ14" s="104"/>
      <c r="QR14" s="208" t="s">
        <v>26</v>
      </c>
      <c r="QS14" s="208"/>
      <c r="QT14" s="208"/>
      <c r="QU14" s="208"/>
      <c r="QV14" s="129"/>
      <c r="QW14" s="129"/>
      <c r="QX14" s="207" t="s">
        <v>39</v>
      </c>
      <c r="QY14" s="207"/>
      <c r="QZ14" s="207"/>
      <c r="RA14" s="207"/>
      <c r="RB14" s="104"/>
      <c r="RC14" s="104"/>
      <c r="RD14" s="208" t="s">
        <v>27</v>
      </c>
      <c r="RE14" s="208"/>
      <c r="RF14" s="208"/>
      <c r="RG14" s="208"/>
      <c r="RH14" s="129"/>
      <c r="RI14" s="129"/>
      <c r="RJ14" s="207" t="s">
        <v>40</v>
      </c>
      <c r="RK14" s="207"/>
      <c r="RL14" s="207"/>
      <c r="RM14" s="207"/>
      <c r="RN14" s="104"/>
      <c r="RO14" s="104"/>
      <c r="RP14" s="104"/>
      <c r="RQ14" s="105"/>
      <c r="RR14" s="103"/>
      <c r="RS14" s="104"/>
      <c r="RT14" s="104"/>
      <c r="RU14" s="104"/>
      <c r="RV14" s="207" t="s">
        <v>36</v>
      </c>
      <c r="RW14" s="207"/>
      <c r="RX14" s="207"/>
      <c r="RY14" s="207"/>
      <c r="RZ14" s="104"/>
      <c r="SA14" s="104"/>
      <c r="SB14" s="208" t="s">
        <v>24</v>
      </c>
      <c r="SC14" s="208"/>
      <c r="SD14" s="208"/>
      <c r="SE14" s="208"/>
      <c r="SF14" s="129"/>
      <c r="SG14" s="129"/>
      <c r="SH14" s="207" t="s">
        <v>37</v>
      </c>
      <c r="SI14" s="207"/>
      <c r="SJ14" s="207"/>
      <c r="SK14" s="207"/>
      <c r="SL14" s="104"/>
      <c r="SM14" s="104"/>
      <c r="SN14" s="208" t="s">
        <v>25</v>
      </c>
      <c r="SO14" s="208"/>
      <c r="SP14" s="208"/>
      <c r="SQ14" s="208"/>
      <c r="SR14" s="129"/>
      <c r="SS14" s="129"/>
      <c r="ST14" s="207" t="s">
        <v>38</v>
      </c>
      <c r="SU14" s="207"/>
      <c r="SV14" s="207"/>
      <c r="SW14" s="207"/>
      <c r="SX14" s="104"/>
      <c r="SY14" s="104"/>
      <c r="SZ14" s="208" t="s">
        <v>26</v>
      </c>
      <c r="TA14" s="208"/>
      <c r="TB14" s="208"/>
      <c r="TC14" s="208"/>
      <c r="TD14" s="129"/>
      <c r="TE14" s="129"/>
      <c r="TF14" s="207" t="s">
        <v>39</v>
      </c>
      <c r="TG14" s="207"/>
      <c r="TH14" s="207"/>
      <c r="TI14" s="207"/>
      <c r="TJ14" s="104"/>
      <c r="TK14" s="104"/>
      <c r="TL14" s="208" t="s">
        <v>27</v>
      </c>
      <c r="TM14" s="208"/>
      <c r="TN14" s="208"/>
      <c r="TO14" s="208"/>
      <c r="TP14" s="129"/>
      <c r="TQ14" s="129"/>
      <c r="TR14" s="207" t="s">
        <v>40</v>
      </c>
      <c r="TS14" s="207"/>
      <c r="TT14" s="207"/>
      <c r="TU14" s="207"/>
      <c r="TV14" s="104"/>
      <c r="TW14" s="104"/>
      <c r="TX14" s="104"/>
      <c r="TY14" s="105"/>
      <c r="TZ14" s="103"/>
      <c r="UA14" s="104"/>
      <c r="UB14" s="104"/>
      <c r="UC14" s="104"/>
      <c r="UD14" s="207" t="s">
        <v>36</v>
      </c>
      <c r="UE14" s="207"/>
      <c r="UF14" s="207"/>
      <c r="UG14" s="207"/>
      <c r="UH14" s="104"/>
      <c r="UI14" s="104"/>
      <c r="UJ14" s="208" t="s">
        <v>24</v>
      </c>
      <c r="UK14" s="208"/>
      <c r="UL14" s="208"/>
      <c r="UM14" s="208"/>
      <c r="UN14" s="129"/>
      <c r="UO14" s="129"/>
      <c r="UP14" s="207" t="s">
        <v>37</v>
      </c>
      <c r="UQ14" s="207"/>
      <c r="UR14" s="207"/>
      <c r="US14" s="207"/>
      <c r="UT14" s="104"/>
      <c r="UU14" s="104"/>
      <c r="UV14" s="208" t="s">
        <v>25</v>
      </c>
      <c r="UW14" s="208"/>
      <c r="UX14" s="208"/>
      <c r="UY14" s="208"/>
      <c r="UZ14" s="129"/>
      <c r="VA14" s="129"/>
      <c r="VB14" s="207" t="s">
        <v>38</v>
      </c>
      <c r="VC14" s="207"/>
      <c r="VD14" s="207"/>
      <c r="VE14" s="207"/>
      <c r="VF14" s="104"/>
      <c r="VG14" s="104"/>
      <c r="VH14" s="208" t="s">
        <v>26</v>
      </c>
      <c r="VI14" s="208"/>
      <c r="VJ14" s="208"/>
      <c r="VK14" s="208"/>
      <c r="VL14" s="129"/>
      <c r="VM14" s="129"/>
      <c r="VN14" s="207" t="s">
        <v>39</v>
      </c>
      <c r="VO14" s="207"/>
      <c r="VP14" s="207"/>
      <c r="VQ14" s="207"/>
      <c r="VR14" s="104"/>
      <c r="VS14" s="104"/>
      <c r="VT14" s="208" t="s">
        <v>27</v>
      </c>
      <c r="VU14" s="208"/>
      <c r="VV14" s="208"/>
      <c r="VW14" s="208"/>
      <c r="VX14" s="129"/>
      <c r="VY14" s="129"/>
      <c r="VZ14" s="207" t="s">
        <v>40</v>
      </c>
      <c r="WA14" s="207"/>
      <c r="WB14" s="207"/>
      <c r="WC14" s="207"/>
      <c r="WD14" s="104"/>
      <c r="WE14" s="104"/>
      <c r="WF14" s="104"/>
      <c r="WG14" s="105"/>
      <c r="WH14" s="103"/>
      <c r="WI14" s="104"/>
      <c r="WJ14" s="104"/>
      <c r="WK14" s="104"/>
      <c r="WL14" s="207" t="s">
        <v>36</v>
      </c>
      <c r="WM14" s="207"/>
      <c r="WN14" s="207"/>
      <c r="WO14" s="207"/>
      <c r="WP14" s="104"/>
      <c r="WQ14" s="104"/>
      <c r="WR14" s="208" t="s">
        <v>24</v>
      </c>
      <c r="WS14" s="208"/>
      <c r="WT14" s="208"/>
      <c r="WU14" s="208"/>
      <c r="WV14" s="129"/>
      <c r="WW14" s="129"/>
      <c r="WX14" s="207" t="s">
        <v>37</v>
      </c>
      <c r="WY14" s="207"/>
      <c r="WZ14" s="207"/>
      <c r="XA14" s="207"/>
      <c r="XB14" s="104"/>
      <c r="XC14" s="104"/>
      <c r="XD14" s="208" t="s">
        <v>25</v>
      </c>
      <c r="XE14" s="208"/>
      <c r="XF14" s="208"/>
      <c r="XG14" s="208"/>
      <c r="XH14" s="129"/>
      <c r="XI14" s="129"/>
      <c r="XJ14" s="207" t="s">
        <v>38</v>
      </c>
      <c r="XK14" s="207"/>
      <c r="XL14" s="207"/>
      <c r="XM14" s="207"/>
      <c r="XN14" s="104"/>
      <c r="XO14" s="104"/>
      <c r="XP14" s="208" t="s">
        <v>26</v>
      </c>
      <c r="XQ14" s="208"/>
      <c r="XR14" s="208"/>
      <c r="XS14" s="208"/>
      <c r="XT14" s="129"/>
      <c r="XU14" s="129"/>
      <c r="XV14" s="207" t="s">
        <v>39</v>
      </c>
      <c r="XW14" s="207"/>
      <c r="XX14" s="207"/>
      <c r="XY14" s="207"/>
      <c r="XZ14" s="104"/>
      <c r="YA14" s="104"/>
      <c r="YB14" s="208" t="s">
        <v>27</v>
      </c>
      <c r="YC14" s="208"/>
      <c r="YD14" s="208"/>
      <c r="YE14" s="208"/>
      <c r="YF14" s="129"/>
      <c r="YG14" s="129"/>
      <c r="YH14" s="207" t="s">
        <v>40</v>
      </c>
      <c r="YI14" s="207"/>
      <c r="YJ14" s="207"/>
      <c r="YK14" s="207"/>
      <c r="YL14" s="104"/>
      <c r="YM14" s="104"/>
      <c r="YN14" s="104"/>
      <c r="YO14" s="105"/>
      <c r="YP14" s="103"/>
      <c r="YQ14" s="104"/>
      <c r="YR14" s="104"/>
      <c r="YS14" s="104"/>
      <c r="YT14" s="207" t="s">
        <v>36</v>
      </c>
      <c r="YU14" s="207"/>
      <c r="YV14" s="207"/>
      <c r="YW14" s="207"/>
      <c r="YX14" s="104"/>
      <c r="YY14" s="104"/>
      <c r="YZ14" s="208" t="s">
        <v>24</v>
      </c>
      <c r="ZA14" s="208"/>
      <c r="ZB14" s="208"/>
      <c r="ZC14" s="208"/>
      <c r="ZD14" s="129"/>
      <c r="ZE14" s="129"/>
      <c r="ZF14" s="207" t="s">
        <v>37</v>
      </c>
      <c r="ZG14" s="207"/>
      <c r="ZH14" s="207"/>
      <c r="ZI14" s="207"/>
      <c r="ZJ14" s="104"/>
      <c r="ZK14" s="104"/>
      <c r="ZL14" s="208" t="s">
        <v>25</v>
      </c>
      <c r="ZM14" s="208"/>
      <c r="ZN14" s="208"/>
      <c r="ZO14" s="208"/>
      <c r="ZP14" s="129"/>
      <c r="ZQ14" s="129"/>
      <c r="ZR14" s="207" t="s">
        <v>38</v>
      </c>
      <c r="ZS14" s="207"/>
      <c r="ZT14" s="207"/>
      <c r="ZU14" s="207"/>
      <c r="ZV14" s="104"/>
      <c r="ZW14" s="104"/>
      <c r="ZX14" s="208" t="s">
        <v>26</v>
      </c>
      <c r="ZY14" s="208"/>
      <c r="ZZ14" s="208"/>
      <c r="AAA14" s="208"/>
      <c r="AAB14" s="129"/>
      <c r="AAC14" s="129"/>
      <c r="AAD14" s="207" t="s">
        <v>39</v>
      </c>
      <c r="AAE14" s="207"/>
      <c r="AAF14" s="207"/>
      <c r="AAG14" s="207"/>
      <c r="AAH14" s="104"/>
      <c r="AAI14" s="104"/>
      <c r="AAJ14" s="208" t="s">
        <v>27</v>
      </c>
      <c r="AAK14" s="208"/>
      <c r="AAL14" s="208"/>
      <c r="AAM14" s="208"/>
      <c r="AAN14" s="129"/>
      <c r="AAO14" s="129"/>
      <c r="AAP14" s="207" t="s">
        <v>40</v>
      </c>
      <c r="AAQ14" s="207"/>
      <c r="AAR14" s="207"/>
      <c r="AAS14" s="207"/>
      <c r="AAT14" s="104"/>
      <c r="AAU14" s="104"/>
      <c r="AAV14" s="104"/>
      <c r="AAW14" s="105"/>
      <c r="AAX14" s="103"/>
      <c r="AAY14" s="104"/>
      <c r="AAZ14" s="104"/>
      <c r="ABA14" s="104"/>
      <c r="ABB14" s="207" t="s">
        <v>36</v>
      </c>
      <c r="ABC14" s="207"/>
      <c r="ABD14" s="207"/>
      <c r="ABE14" s="207"/>
      <c r="ABF14" s="104"/>
      <c r="ABG14" s="104"/>
      <c r="ABH14" s="208" t="s">
        <v>24</v>
      </c>
      <c r="ABI14" s="208"/>
      <c r="ABJ14" s="208"/>
      <c r="ABK14" s="208"/>
      <c r="ABL14" s="129"/>
      <c r="ABM14" s="129"/>
      <c r="ABN14" s="207" t="s">
        <v>37</v>
      </c>
      <c r="ABO14" s="207"/>
      <c r="ABP14" s="207"/>
      <c r="ABQ14" s="207"/>
      <c r="ABR14" s="104"/>
      <c r="ABS14" s="104"/>
      <c r="ABT14" s="208" t="s">
        <v>25</v>
      </c>
      <c r="ABU14" s="208"/>
      <c r="ABV14" s="208"/>
      <c r="ABW14" s="208"/>
      <c r="ABX14" s="129"/>
      <c r="ABY14" s="129"/>
      <c r="ABZ14" s="207" t="s">
        <v>38</v>
      </c>
      <c r="ACA14" s="207"/>
      <c r="ACB14" s="207"/>
      <c r="ACC14" s="207"/>
      <c r="ACD14" s="104"/>
      <c r="ACE14" s="104"/>
      <c r="ACF14" s="208" t="s">
        <v>26</v>
      </c>
      <c r="ACG14" s="208"/>
      <c r="ACH14" s="208"/>
      <c r="ACI14" s="208"/>
      <c r="ACJ14" s="129"/>
      <c r="ACK14" s="129"/>
      <c r="ACL14" s="207" t="s">
        <v>39</v>
      </c>
      <c r="ACM14" s="207"/>
      <c r="ACN14" s="207"/>
      <c r="ACO14" s="207"/>
      <c r="ACP14" s="104"/>
      <c r="ACQ14" s="104"/>
      <c r="ACR14" s="208" t="s">
        <v>27</v>
      </c>
      <c r="ACS14" s="208"/>
      <c r="ACT14" s="208"/>
      <c r="ACU14" s="208"/>
      <c r="ACV14" s="129"/>
      <c r="ACW14" s="129"/>
      <c r="ACX14" s="207" t="s">
        <v>40</v>
      </c>
      <c r="ACY14" s="207"/>
      <c r="ACZ14" s="207"/>
      <c r="ADA14" s="207"/>
      <c r="ADB14" s="104"/>
      <c r="ADC14" s="104"/>
      <c r="ADD14" s="104"/>
      <c r="ADE14" s="105"/>
      <c r="ADF14" s="103"/>
      <c r="ADG14" s="104"/>
      <c r="ADH14" s="104"/>
      <c r="ADI14" s="104"/>
      <c r="ADJ14" s="207" t="s">
        <v>36</v>
      </c>
      <c r="ADK14" s="207"/>
      <c r="ADL14" s="207"/>
      <c r="ADM14" s="207"/>
      <c r="ADN14" s="104"/>
      <c r="ADO14" s="104"/>
      <c r="ADP14" s="208" t="s">
        <v>24</v>
      </c>
      <c r="ADQ14" s="208"/>
      <c r="ADR14" s="208"/>
      <c r="ADS14" s="208"/>
      <c r="ADT14" s="129"/>
      <c r="ADU14" s="129"/>
      <c r="ADV14" s="207" t="s">
        <v>37</v>
      </c>
      <c r="ADW14" s="207"/>
      <c r="ADX14" s="207"/>
      <c r="ADY14" s="207"/>
      <c r="ADZ14" s="104"/>
      <c r="AEA14" s="104"/>
      <c r="AEB14" s="208" t="s">
        <v>25</v>
      </c>
      <c r="AEC14" s="208"/>
      <c r="AED14" s="208"/>
      <c r="AEE14" s="208"/>
      <c r="AEF14" s="129"/>
      <c r="AEG14" s="129"/>
      <c r="AEH14" s="207" t="s">
        <v>38</v>
      </c>
      <c r="AEI14" s="207"/>
      <c r="AEJ14" s="207"/>
      <c r="AEK14" s="207"/>
      <c r="AEL14" s="104"/>
      <c r="AEM14" s="104"/>
      <c r="AEN14" s="208" t="s">
        <v>26</v>
      </c>
      <c r="AEO14" s="208"/>
      <c r="AEP14" s="208"/>
      <c r="AEQ14" s="208"/>
      <c r="AER14" s="129"/>
      <c r="AES14" s="129"/>
      <c r="AET14" s="207" t="s">
        <v>39</v>
      </c>
      <c r="AEU14" s="207"/>
      <c r="AEV14" s="207"/>
      <c r="AEW14" s="207"/>
      <c r="AEX14" s="104"/>
      <c r="AEY14" s="104"/>
      <c r="AEZ14" s="208" t="s">
        <v>27</v>
      </c>
      <c r="AFA14" s="208"/>
      <c r="AFB14" s="208"/>
      <c r="AFC14" s="208"/>
      <c r="AFD14" s="129"/>
      <c r="AFE14" s="129"/>
      <c r="AFF14" s="207" t="s">
        <v>40</v>
      </c>
      <c r="AFG14" s="207"/>
      <c r="AFH14" s="207"/>
      <c r="AFI14" s="207"/>
      <c r="AFJ14" s="104"/>
      <c r="AFK14" s="104"/>
      <c r="AFL14" s="104"/>
      <c r="AFM14" s="105"/>
      <c r="AFN14" s="90"/>
    </row>
    <row r="15" spans="1:846" ht="20.100000000000001" customHeight="1" x14ac:dyDescent="0.25">
      <c r="A15" s="100" t="s">
        <v>20</v>
      </c>
      <c r="B15" s="63" t="str">
        <f>IF(LEN(C15)=0,"",C15)</f>
        <v xml:space="preserve">Absences - imprévus </v>
      </c>
      <c r="C15" s="218" t="s">
        <v>4</v>
      </c>
      <c r="D15" s="149" t="str">
        <f>setValueToTime(E15)</f>
        <v>1h30min</v>
      </c>
      <c r="E15" s="31">
        <v>18</v>
      </c>
      <c r="F15" s="180"/>
      <c r="G15" s="181"/>
      <c r="H15" s="181"/>
      <c r="I15" s="181"/>
      <c r="J15" s="182"/>
      <c r="K15" s="183"/>
      <c r="L15" s="182"/>
      <c r="M15" s="182"/>
      <c r="N15" s="182"/>
      <c r="O15" s="182"/>
      <c r="P15" s="182"/>
      <c r="Q15" s="184"/>
      <c r="R15" s="182"/>
      <c r="S15" s="182"/>
      <c r="T15" s="182"/>
      <c r="U15" s="182"/>
      <c r="V15" s="182"/>
      <c r="W15" s="185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24"/>
      <c r="RS15" s="68"/>
      <c r="RT15" s="68"/>
      <c r="RU15" s="68"/>
      <c r="RV15" s="25"/>
      <c r="RW15" s="130"/>
      <c r="RX15" s="25"/>
      <c r="RY15" s="25"/>
      <c r="RZ15" s="25"/>
      <c r="SA15" s="25"/>
      <c r="SB15" s="25"/>
      <c r="SC15" s="135"/>
      <c r="SD15" s="25"/>
      <c r="SE15" s="25"/>
      <c r="SF15" s="25"/>
      <c r="SG15" s="25"/>
      <c r="SH15" s="25"/>
      <c r="SI15" s="72"/>
      <c r="SJ15" s="25"/>
      <c r="SK15" s="25"/>
      <c r="SL15" s="25"/>
      <c r="SM15" s="25"/>
      <c r="SN15" s="25"/>
      <c r="SO15" s="135"/>
      <c r="SP15" s="25"/>
      <c r="SQ15" s="25"/>
      <c r="SR15" s="25"/>
      <c r="SS15" s="25"/>
      <c r="ST15" s="25"/>
      <c r="SU15" s="72"/>
      <c r="SV15" s="68"/>
      <c r="SW15" s="68"/>
      <c r="SX15" s="68"/>
      <c r="SY15" s="68"/>
      <c r="SZ15" s="25"/>
      <c r="TA15" s="135"/>
      <c r="TB15" s="25"/>
      <c r="TC15" s="25"/>
      <c r="TD15" s="25"/>
      <c r="TE15" s="25"/>
      <c r="TF15" s="25"/>
      <c r="TG15" s="72"/>
      <c r="TH15" s="25"/>
      <c r="TI15" s="25"/>
      <c r="TJ15" s="25"/>
      <c r="TK15" s="25"/>
      <c r="TL15" s="25"/>
      <c r="TM15" s="135"/>
      <c r="TN15" s="25"/>
      <c r="TO15" s="25"/>
      <c r="TP15" s="25"/>
      <c r="TQ15" s="25"/>
      <c r="TR15" s="25"/>
      <c r="TS15" s="72"/>
      <c r="TT15" s="25"/>
      <c r="TU15" s="25"/>
      <c r="TV15" s="25"/>
      <c r="TW15" s="25"/>
      <c r="TX15" s="25"/>
      <c r="TY15" s="26"/>
      <c r="TZ15" s="24"/>
      <c r="UA15" s="68"/>
      <c r="UB15" s="68"/>
      <c r="UC15" s="68"/>
      <c r="UD15" s="25"/>
      <c r="UE15" s="130"/>
      <c r="UF15" s="25"/>
      <c r="UG15" s="25"/>
      <c r="UH15" s="25"/>
      <c r="UI15" s="25"/>
      <c r="UJ15" s="25"/>
      <c r="UK15" s="135"/>
      <c r="UL15" s="25"/>
      <c r="UM15" s="25"/>
      <c r="UN15" s="25"/>
      <c r="UO15" s="25"/>
      <c r="UP15" s="25"/>
      <c r="UQ15" s="72"/>
      <c r="UR15" s="25"/>
      <c r="US15" s="25"/>
      <c r="UT15" s="25"/>
      <c r="UU15" s="25"/>
      <c r="UV15" s="25"/>
      <c r="UW15" s="135"/>
      <c r="UX15" s="25"/>
      <c r="UY15" s="25"/>
      <c r="UZ15" s="25"/>
      <c r="VA15" s="25"/>
      <c r="VB15" s="25"/>
      <c r="VC15" s="72"/>
      <c r="VD15" s="68"/>
      <c r="VE15" s="68"/>
      <c r="VF15" s="68"/>
      <c r="VG15" s="68"/>
      <c r="VH15" s="25"/>
      <c r="VI15" s="135"/>
      <c r="VJ15" s="25"/>
      <c r="VK15" s="25"/>
      <c r="VL15" s="25"/>
      <c r="VM15" s="25"/>
      <c r="VN15" s="25"/>
      <c r="VO15" s="72"/>
      <c r="VP15" s="25"/>
      <c r="VQ15" s="25"/>
      <c r="VR15" s="25"/>
      <c r="VS15" s="25"/>
      <c r="VT15" s="25"/>
      <c r="VU15" s="135"/>
      <c r="VV15" s="25"/>
      <c r="VW15" s="25"/>
      <c r="VX15" s="25"/>
      <c r="VY15" s="25"/>
      <c r="VZ15" s="25"/>
      <c r="WA15" s="72"/>
      <c r="WB15" s="25"/>
      <c r="WC15" s="25"/>
      <c r="WD15" s="25"/>
      <c r="WE15" s="25"/>
      <c r="WF15" s="25"/>
      <c r="WG15" s="26"/>
      <c r="WH15" s="24"/>
      <c r="WI15" s="68"/>
      <c r="WJ15" s="68"/>
      <c r="WK15" s="68"/>
      <c r="WL15" s="25"/>
      <c r="WM15" s="130"/>
      <c r="WN15" s="25"/>
      <c r="WO15" s="25"/>
      <c r="WP15" s="25"/>
      <c r="WQ15" s="25"/>
      <c r="WR15" s="25"/>
      <c r="WS15" s="135"/>
      <c r="WT15" s="25"/>
      <c r="WU15" s="25"/>
      <c r="WV15" s="25"/>
      <c r="WW15" s="25"/>
      <c r="WX15" s="25"/>
      <c r="WY15" s="72"/>
      <c r="WZ15" s="25"/>
      <c r="XA15" s="25"/>
      <c r="XB15" s="25"/>
      <c r="XC15" s="25"/>
      <c r="XD15" s="25"/>
      <c r="XE15" s="135"/>
      <c r="XF15" s="25"/>
      <c r="XG15" s="25"/>
      <c r="XH15" s="25"/>
      <c r="XI15" s="25"/>
      <c r="XJ15" s="25"/>
      <c r="XK15" s="72"/>
      <c r="XL15" s="68"/>
      <c r="XM15" s="68"/>
      <c r="XN15" s="68"/>
      <c r="XO15" s="68"/>
      <c r="XP15" s="25"/>
      <c r="XQ15" s="135"/>
      <c r="XR15" s="25"/>
      <c r="XS15" s="25"/>
      <c r="XT15" s="25"/>
      <c r="XU15" s="25"/>
      <c r="XV15" s="25"/>
      <c r="XW15" s="72"/>
      <c r="XX15" s="25"/>
      <c r="XY15" s="25"/>
      <c r="XZ15" s="25"/>
      <c r="YA15" s="25"/>
      <c r="YB15" s="25"/>
      <c r="YC15" s="135"/>
      <c r="YD15" s="25"/>
      <c r="YE15" s="25"/>
      <c r="YF15" s="25"/>
      <c r="YG15" s="25"/>
      <c r="YH15" s="25"/>
      <c r="YI15" s="72"/>
      <c r="YJ15" s="25"/>
      <c r="YK15" s="25"/>
      <c r="YL15" s="25"/>
      <c r="YM15" s="25"/>
      <c r="YN15" s="25"/>
      <c r="YO15" s="26"/>
      <c r="YP15" s="24"/>
      <c r="YQ15" s="68"/>
      <c r="YR15" s="68"/>
      <c r="YS15" s="68"/>
      <c r="YT15" s="25"/>
      <c r="YU15" s="130"/>
      <c r="YV15" s="25"/>
      <c r="YW15" s="25"/>
      <c r="YX15" s="25"/>
      <c r="YY15" s="25"/>
      <c r="YZ15" s="25"/>
      <c r="ZA15" s="135"/>
      <c r="ZB15" s="25"/>
      <c r="ZC15" s="25"/>
      <c r="ZD15" s="25"/>
      <c r="ZE15" s="25"/>
      <c r="ZF15" s="25"/>
      <c r="ZG15" s="72"/>
      <c r="ZH15" s="25"/>
      <c r="ZI15" s="25"/>
      <c r="ZJ15" s="25"/>
      <c r="ZK15" s="25"/>
      <c r="ZL15" s="25"/>
      <c r="ZM15" s="135"/>
      <c r="ZN15" s="25"/>
      <c r="ZO15" s="25"/>
      <c r="ZP15" s="25"/>
      <c r="ZQ15" s="25"/>
      <c r="ZR15" s="25"/>
      <c r="ZS15" s="72"/>
      <c r="ZT15" s="68"/>
      <c r="ZU15" s="68"/>
      <c r="ZV15" s="68"/>
      <c r="ZW15" s="68"/>
      <c r="ZX15" s="25"/>
      <c r="ZY15" s="135"/>
      <c r="ZZ15" s="25"/>
      <c r="AAA15" s="25"/>
      <c r="AAB15" s="25"/>
      <c r="AAC15" s="25"/>
      <c r="AAD15" s="25"/>
      <c r="AAE15" s="72"/>
      <c r="AAF15" s="25"/>
      <c r="AAG15" s="25"/>
      <c r="AAH15" s="25"/>
      <c r="AAI15" s="25"/>
      <c r="AAJ15" s="25"/>
      <c r="AAK15" s="135"/>
      <c r="AAL15" s="25"/>
      <c r="AAM15" s="25"/>
      <c r="AAN15" s="25"/>
      <c r="AAO15" s="25"/>
      <c r="AAP15" s="25"/>
      <c r="AAQ15" s="72"/>
      <c r="AAR15" s="25"/>
      <c r="AAS15" s="25"/>
      <c r="AAT15" s="25"/>
      <c r="AAU15" s="25"/>
      <c r="AAV15" s="25"/>
      <c r="AAW15" s="26"/>
      <c r="AAX15" s="24"/>
      <c r="AAY15" s="68"/>
      <c r="AAZ15" s="68"/>
      <c r="ABA15" s="68"/>
      <c r="ABB15" s="25"/>
      <c r="ABC15" s="130"/>
      <c r="ABD15" s="25"/>
      <c r="ABE15" s="25"/>
      <c r="ABF15" s="25"/>
      <c r="ABG15" s="25"/>
      <c r="ABH15" s="25"/>
      <c r="ABI15" s="135"/>
      <c r="ABJ15" s="25"/>
      <c r="ABK15" s="25"/>
      <c r="ABL15" s="25"/>
      <c r="ABM15" s="25"/>
      <c r="ABN15" s="25"/>
      <c r="ABO15" s="72"/>
      <c r="ABP15" s="25"/>
      <c r="ABQ15" s="25"/>
      <c r="ABR15" s="25"/>
      <c r="ABS15" s="25"/>
      <c r="ABT15" s="25"/>
      <c r="ABU15" s="135"/>
      <c r="ABV15" s="25"/>
      <c r="ABW15" s="25"/>
      <c r="ABX15" s="25"/>
      <c r="ABY15" s="25"/>
      <c r="ABZ15" s="25"/>
      <c r="ACA15" s="72"/>
      <c r="ACB15" s="68"/>
      <c r="ACC15" s="68"/>
      <c r="ACD15" s="68"/>
      <c r="ACE15" s="68"/>
      <c r="ACF15" s="25"/>
      <c r="ACG15" s="135"/>
      <c r="ACH15" s="25"/>
      <c r="ACI15" s="25"/>
      <c r="ACJ15" s="25"/>
      <c r="ACK15" s="25"/>
      <c r="ACL15" s="25"/>
      <c r="ACM15" s="72"/>
      <c r="ACN15" s="25"/>
      <c r="ACO15" s="25"/>
      <c r="ACP15" s="25"/>
      <c r="ACQ15" s="25"/>
      <c r="ACR15" s="25"/>
      <c r="ACS15" s="135"/>
      <c r="ACT15" s="25"/>
      <c r="ACU15" s="25"/>
      <c r="ACV15" s="25"/>
      <c r="ACW15" s="25"/>
      <c r="ACX15" s="25"/>
      <c r="ACY15" s="72"/>
      <c r="ACZ15" s="25"/>
      <c r="ADA15" s="25"/>
      <c r="ADB15" s="25"/>
      <c r="ADC15" s="25"/>
      <c r="ADD15" s="25"/>
      <c r="ADE15" s="26"/>
      <c r="ADF15" s="24"/>
      <c r="ADG15" s="68"/>
      <c r="ADH15" s="68"/>
      <c r="ADI15" s="68"/>
      <c r="ADJ15" s="25"/>
      <c r="ADK15" s="130"/>
      <c r="ADL15" s="25"/>
      <c r="ADM15" s="25"/>
      <c r="ADN15" s="25"/>
      <c r="ADO15" s="25"/>
      <c r="ADP15" s="25"/>
      <c r="ADQ15" s="135"/>
      <c r="ADR15" s="25"/>
      <c r="ADS15" s="25"/>
      <c r="ADT15" s="25"/>
      <c r="ADU15" s="25"/>
      <c r="ADV15" s="25"/>
      <c r="ADW15" s="72"/>
      <c r="ADX15" s="25"/>
      <c r="ADY15" s="25"/>
      <c r="ADZ15" s="25"/>
      <c r="AEA15" s="25"/>
      <c r="AEB15" s="25"/>
      <c r="AEC15" s="135"/>
      <c r="AED15" s="25"/>
      <c r="AEE15" s="25"/>
      <c r="AEF15" s="25"/>
      <c r="AEG15" s="25"/>
      <c r="AEH15" s="25"/>
      <c r="AEI15" s="72"/>
      <c r="AEJ15" s="68"/>
      <c r="AEK15" s="68"/>
      <c r="AEL15" s="68"/>
      <c r="AEM15" s="68"/>
      <c r="AEN15" s="25"/>
      <c r="AEO15" s="135"/>
      <c r="AEP15" s="25"/>
      <c r="AEQ15" s="25"/>
      <c r="AER15" s="25"/>
      <c r="AES15" s="25"/>
      <c r="AET15" s="25"/>
      <c r="AEU15" s="72"/>
      <c r="AEV15" s="25"/>
      <c r="AEW15" s="25"/>
      <c r="AEX15" s="25"/>
      <c r="AEY15" s="25"/>
      <c r="AEZ15" s="25"/>
      <c r="AFA15" s="135"/>
      <c r="AFB15" s="25"/>
      <c r="AFC15" s="25"/>
      <c r="AFD15" s="25"/>
      <c r="AFE15" s="25"/>
      <c r="AFF15" s="25"/>
      <c r="AFG15" s="72"/>
      <c r="AFH15" s="25"/>
      <c r="AFI15" s="25"/>
      <c r="AFJ15" s="25"/>
      <c r="AFK15" s="25"/>
      <c r="AFL15" s="25"/>
      <c r="AFM15" s="26"/>
      <c r="AFN15" s="90"/>
    </row>
    <row r="16" spans="1:846" ht="20.100000000000001" customHeight="1" x14ac:dyDescent="0.25">
      <c r="A16" s="100" t="s">
        <v>21</v>
      </c>
      <c r="B16" s="63" t="str">
        <f>IF(LEN(C17)=0,"",C17)</f>
        <v>Analyse - Planification initiale</v>
      </c>
      <c r="C16" s="219"/>
      <c r="D16" s="147" t="str">
        <f t="shared" ref="D16:D79" si="0">setValueToTime(E16)</f>
        <v>1h30min</v>
      </c>
      <c r="E16" s="35">
        <v>18</v>
      </c>
      <c r="F16" s="186"/>
      <c r="G16" s="187"/>
      <c r="H16" s="187"/>
      <c r="I16" s="187"/>
      <c r="J16" s="188"/>
      <c r="K16" s="189"/>
      <c r="L16" s="188"/>
      <c r="M16" s="188"/>
      <c r="N16" s="188"/>
      <c r="O16" s="188"/>
      <c r="P16" s="188"/>
      <c r="Q16" s="190"/>
      <c r="R16" s="188"/>
      <c r="S16" s="188"/>
      <c r="T16" s="188"/>
      <c r="U16" s="188"/>
      <c r="V16" s="188"/>
      <c r="W16" s="191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28"/>
      <c r="RS16" s="67"/>
      <c r="RT16" s="67"/>
      <c r="RU16" s="67"/>
      <c r="RV16" s="29"/>
      <c r="RW16" s="131"/>
      <c r="RX16" s="29"/>
      <c r="RY16" s="29"/>
      <c r="RZ16" s="29"/>
      <c r="SA16" s="29"/>
      <c r="SB16" s="29"/>
      <c r="SC16" s="136"/>
      <c r="SD16" s="29"/>
      <c r="SE16" s="29"/>
      <c r="SF16" s="29"/>
      <c r="SG16" s="29"/>
      <c r="SH16" s="29"/>
      <c r="SI16" s="73"/>
      <c r="SJ16" s="29"/>
      <c r="SK16" s="29"/>
      <c r="SL16" s="29"/>
      <c r="SM16" s="29"/>
      <c r="SN16" s="29"/>
      <c r="SO16" s="136"/>
      <c r="SP16" s="29"/>
      <c r="SQ16" s="29"/>
      <c r="SR16" s="29"/>
      <c r="SS16" s="29"/>
      <c r="ST16" s="29"/>
      <c r="SU16" s="73"/>
      <c r="SV16" s="67"/>
      <c r="SW16" s="67"/>
      <c r="SX16" s="67"/>
      <c r="SY16" s="67"/>
      <c r="SZ16" s="29"/>
      <c r="TA16" s="136"/>
      <c r="TB16" s="29"/>
      <c r="TC16" s="29"/>
      <c r="TD16" s="29"/>
      <c r="TE16" s="29"/>
      <c r="TF16" s="29"/>
      <c r="TG16" s="73"/>
      <c r="TH16" s="29"/>
      <c r="TI16" s="29"/>
      <c r="TJ16" s="29"/>
      <c r="TK16" s="29"/>
      <c r="TL16" s="29"/>
      <c r="TM16" s="136"/>
      <c r="TN16" s="29"/>
      <c r="TO16" s="29"/>
      <c r="TP16" s="29"/>
      <c r="TQ16" s="29"/>
      <c r="TR16" s="29"/>
      <c r="TS16" s="73"/>
      <c r="TT16" s="29"/>
      <c r="TU16" s="29"/>
      <c r="TV16" s="29"/>
      <c r="TW16" s="29"/>
      <c r="TX16" s="29"/>
      <c r="TY16" s="30"/>
      <c r="TZ16" s="28"/>
      <c r="UA16" s="67"/>
      <c r="UB16" s="67"/>
      <c r="UC16" s="67"/>
      <c r="UD16" s="29"/>
      <c r="UE16" s="131"/>
      <c r="UF16" s="29"/>
      <c r="UG16" s="29"/>
      <c r="UH16" s="29"/>
      <c r="UI16" s="29"/>
      <c r="UJ16" s="29"/>
      <c r="UK16" s="136"/>
      <c r="UL16" s="29"/>
      <c r="UM16" s="29"/>
      <c r="UN16" s="29"/>
      <c r="UO16" s="29"/>
      <c r="UP16" s="29"/>
      <c r="UQ16" s="73"/>
      <c r="UR16" s="29"/>
      <c r="US16" s="29"/>
      <c r="UT16" s="29"/>
      <c r="UU16" s="29"/>
      <c r="UV16" s="29"/>
      <c r="UW16" s="136"/>
      <c r="UX16" s="29"/>
      <c r="UY16" s="29"/>
      <c r="UZ16" s="29"/>
      <c r="VA16" s="29"/>
      <c r="VB16" s="29"/>
      <c r="VC16" s="73"/>
      <c r="VD16" s="67"/>
      <c r="VE16" s="67"/>
      <c r="VF16" s="67"/>
      <c r="VG16" s="67"/>
      <c r="VH16" s="29"/>
      <c r="VI16" s="136"/>
      <c r="VJ16" s="29"/>
      <c r="VK16" s="29"/>
      <c r="VL16" s="29"/>
      <c r="VM16" s="29"/>
      <c r="VN16" s="29"/>
      <c r="VO16" s="73"/>
      <c r="VP16" s="29"/>
      <c r="VQ16" s="29"/>
      <c r="VR16" s="29"/>
      <c r="VS16" s="29"/>
      <c r="VT16" s="29"/>
      <c r="VU16" s="136"/>
      <c r="VV16" s="29"/>
      <c r="VW16" s="29"/>
      <c r="VX16" s="29"/>
      <c r="VY16" s="29"/>
      <c r="VZ16" s="29"/>
      <c r="WA16" s="73"/>
      <c r="WB16" s="29"/>
      <c r="WC16" s="29"/>
      <c r="WD16" s="29"/>
      <c r="WE16" s="29"/>
      <c r="WF16" s="29"/>
      <c r="WG16" s="30"/>
      <c r="WH16" s="28"/>
      <c r="WI16" s="67"/>
      <c r="WJ16" s="67"/>
      <c r="WK16" s="67"/>
      <c r="WL16" s="29"/>
      <c r="WM16" s="131"/>
      <c r="WN16" s="29"/>
      <c r="WO16" s="29"/>
      <c r="WP16" s="29"/>
      <c r="WQ16" s="29"/>
      <c r="WR16" s="29"/>
      <c r="WS16" s="136"/>
      <c r="WT16" s="29"/>
      <c r="WU16" s="29"/>
      <c r="WV16" s="29"/>
      <c r="WW16" s="29"/>
      <c r="WX16" s="29"/>
      <c r="WY16" s="73"/>
      <c r="WZ16" s="29"/>
      <c r="XA16" s="29"/>
      <c r="XB16" s="29"/>
      <c r="XC16" s="29"/>
      <c r="XD16" s="29"/>
      <c r="XE16" s="136"/>
      <c r="XF16" s="29"/>
      <c r="XG16" s="29"/>
      <c r="XH16" s="29"/>
      <c r="XI16" s="29"/>
      <c r="XJ16" s="29"/>
      <c r="XK16" s="73"/>
      <c r="XL16" s="67"/>
      <c r="XM16" s="67"/>
      <c r="XN16" s="67"/>
      <c r="XO16" s="67"/>
      <c r="XP16" s="29"/>
      <c r="XQ16" s="136"/>
      <c r="XR16" s="29"/>
      <c r="XS16" s="29"/>
      <c r="XT16" s="29"/>
      <c r="XU16" s="29"/>
      <c r="XV16" s="29"/>
      <c r="XW16" s="73"/>
      <c r="XX16" s="29"/>
      <c r="XY16" s="29"/>
      <c r="XZ16" s="29"/>
      <c r="YA16" s="29"/>
      <c r="YB16" s="29"/>
      <c r="YC16" s="136"/>
      <c r="YD16" s="29"/>
      <c r="YE16" s="29"/>
      <c r="YF16" s="29"/>
      <c r="YG16" s="29"/>
      <c r="YH16" s="29"/>
      <c r="YI16" s="73"/>
      <c r="YJ16" s="29"/>
      <c r="YK16" s="29"/>
      <c r="YL16" s="29"/>
      <c r="YM16" s="29"/>
      <c r="YN16" s="29"/>
      <c r="YO16" s="30"/>
      <c r="YP16" s="28"/>
      <c r="YQ16" s="67"/>
      <c r="YR16" s="67"/>
      <c r="YS16" s="67"/>
      <c r="YT16" s="29"/>
      <c r="YU16" s="131"/>
      <c r="YV16" s="29"/>
      <c r="YW16" s="29"/>
      <c r="YX16" s="29"/>
      <c r="YY16" s="29"/>
      <c r="YZ16" s="29"/>
      <c r="ZA16" s="136"/>
      <c r="ZB16" s="29"/>
      <c r="ZC16" s="29"/>
      <c r="ZD16" s="29"/>
      <c r="ZE16" s="29"/>
      <c r="ZF16" s="29"/>
      <c r="ZG16" s="73"/>
      <c r="ZH16" s="29"/>
      <c r="ZI16" s="29"/>
      <c r="ZJ16" s="29"/>
      <c r="ZK16" s="29"/>
      <c r="ZL16" s="29"/>
      <c r="ZM16" s="136"/>
      <c r="ZN16" s="29"/>
      <c r="ZO16" s="29"/>
      <c r="ZP16" s="29"/>
      <c r="ZQ16" s="29"/>
      <c r="ZR16" s="29"/>
      <c r="ZS16" s="73"/>
      <c r="ZT16" s="67"/>
      <c r="ZU16" s="67"/>
      <c r="ZV16" s="67"/>
      <c r="ZW16" s="67"/>
      <c r="ZX16" s="29"/>
      <c r="ZY16" s="136"/>
      <c r="ZZ16" s="29"/>
      <c r="AAA16" s="29"/>
      <c r="AAB16" s="29"/>
      <c r="AAC16" s="29"/>
      <c r="AAD16" s="29"/>
      <c r="AAE16" s="73"/>
      <c r="AAF16" s="29"/>
      <c r="AAG16" s="29"/>
      <c r="AAH16" s="29"/>
      <c r="AAI16" s="29"/>
      <c r="AAJ16" s="29"/>
      <c r="AAK16" s="136"/>
      <c r="AAL16" s="29"/>
      <c r="AAM16" s="29"/>
      <c r="AAN16" s="29"/>
      <c r="AAO16" s="29"/>
      <c r="AAP16" s="29"/>
      <c r="AAQ16" s="73"/>
      <c r="AAR16" s="29"/>
      <c r="AAS16" s="29"/>
      <c r="AAT16" s="29"/>
      <c r="AAU16" s="29"/>
      <c r="AAV16" s="29"/>
      <c r="AAW16" s="30"/>
      <c r="AAX16" s="28"/>
      <c r="AAY16" s="67"/>
      <c r="AAZ16" s="67"/>
      <c r="ABA16" s="67"/>
      <c r="ABB16" s="29"/>
      <c r="ABC16" s="131"/>
      <c r="ABD16" s="29"/>
      <c r="ABE16" s="29"/>
      <c r="ABF16" s="29"/>
      <c r="ABG16" s="29"/>
      <c r="ABH16" s="29"/>
      <c r="ABI16" s="136"/>
      <c r="ABJ16" s="29"/>
      <c r="ABK16" s="29"/>
      <c r="ABL16" s="29"/>
      <c r="ABM16" s="29"/>
      <c r="ABN16" s="29"/>
      <c r="ABO16" s="73"/>
      <c r="ABP16" s="29"/>
      <c r="ABQ16" s="29"/>
      <c r="ABR16" s="29"/>
      <c r="ABS16" s="29"/>
      <c r="ABT16" s="29"/>
      <c r="ABU16" s="136"/>
      <c r="ABV16" s="29"/>
      <c r="ABW16" s="29"/>
      <c r="ABX16" s="29"/>
      <c r="ABY16" s="29"/>
      <c r="ABZ16" s="29"/>
      <c r="ACA16" s="73"/>
      <c r="ACB16" s="67"/>
      <c r="ACC16" s="67"/>
      <c r="ACD16" s="67"/>
      <c r="ACE16" s="67"/>
      <c r="ACF16" s="29"/>
      <c r="ACG16" s="136"/>
      <c r="ACH16" s="29"/>
      <c r="ACI16" s="29"/>
      <c r="ACJ16" s="29"/>
      <c r="ACK16" s="29"/>
      <c r="ACL16" s="29"/>
      <c r="ACM16" s="73"/>
      <c r="ACN16" s="29"/>
      <c r="ACO16" s="29"/>
      <c r="ACP16" s="29"/>
      <c r="ACQ16" s="29"/>
      <c r="ACR16" s="29"/>
      <c r="ACS16" s="136"/>
      <c r="ACT16" s="29"/>
      <c r="ACU16" s="29"/>
      <c r="ACV16" s="29"/>
      <c r="ACW16" s="29"/>
      <c r="ACX16" s="29"/>
      <c r="ACY16" s="73"/>
      <c r="ACZ16" s="29"/>
      <c r="ADA16" s="29"/>
      <c r="ADB16" s="29"/>
      <c r="ADC16" s="29"/>
      <c r="ADD16" s="29"/>
      <c r="ADE16" s="30"/>
      <c r="ADF16" s="28"/>
      <c r="ADG16" s="67"/>
      <c r="ADH16" s="67"/>
      <c r="ADI16" s="67"/>
      <c r="ADJ16" s="29"/>
      <c r="ADK16" s="131"/>
      <c r="ADL16" s="29"/>
      <c r="ADM16" s="29"/>
      <c r="ADN16" s="29"/>
      <c r="ADO16" s="29"/>
      <c r="ADP16" s="29"/>
      <c r="ADQ16" s="136"/>
      <c r="ADR16" s="29"/>
      <c r="ADS16" s="29"/>
      <c r="ADT16" s="29"/>
      <c r="ADU16" s="29"/>
      <c r="ADV16" s="29"/>
      <c r="ADW16" s="73"/>
      <c r="ADX16" s="29"/>
      <c r="ADY16" s="29"/>
      <c r="ADZ16" s="29"/>
      <c r="AEA16" s="29"/>
      <c r="AEB16" s="29"/>
      <c r="AEC16" s="136"/>
      <c r="AED16" s="29"/>
      <c r="AEE16" s="29"/>
      <c r="AEF16" s="29"/>
      <c r="AEG16" s="29"/>
      <c r="AEH16" s="29"/>
      <c r="AEI16" s="73"/>
      <c r="AEJ16" s="67"/>
      <c r="AEK16" s="67"/>
      <c r="AEL16" s="67"/>
      <c r="AEM16" s="67"/>
      <c r="AEN16" s="29"/>
      <c r="AEO16" s="136"/>
      <c r="AEP16" s="29"/>
      <c r="AEQ16" s="29"/>
      <c r="AER16" s="29"/>
      <c r="AES16" s="29"/>
      <c r="AET16" s="29"/>
      <c r="AEU16" s="73"/>
      <c r="AEV16" s="29"/>
      <c r="AEW16" s="29"/>
      <c r="AEX16" s="29"/>
      <c r="AEY16" s="29"/>
      <c r="AEZ16" s="29"/>
      <c r="AFA16" s="136"/>
      <c r="AFB16" s="29"/>
      <c r="AFC16" s="29"/>
      <c r="AFD16" s="29"/>
      <c r="AFE16" s="29"/>
      <c r="AFF16" s="29"/>
      <c r="AFG16" s="73"/>
      <c r="AFH16" s="29"/>
      <c r="AFI16" s="29"/>
      <c r="AFJ16" s="29"/>
      <c r="AFK16" s="29"/>
      <c r="AFL16" s="29"/>
      <c r="AFM16" s="30"/>
      <c r="AFN16" s="90"/>
    </row>
    <row r="17" spans="1:846" ht="20.100000000000001" customHeight="1" x14ac:dyDescent="0.25">
      <c r="A17" s="100" t="s">
        <v>20</v>
      </c>
      <c r="B17" s="63" t="str">
        <f>IF(LEN(C19)=0,"",C19)</f>
        <v>Réalisation - Interfaces</v>
      </c>
      <c r="C17" s="218" t="s">
        <v>32</v>
      </c>
      <c r="D17" s="146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32"/>
      <c r="RS17" s="64"/>
      <c r="RT17" s="64"/>
      <c r="RU17" s="64"/>
      <c r="RV17" s="33"/>
      <c r="RW17" s="132"/>
      <c r="RX17" s="33"/>
      <c r="RY17" s="33"/>
      <c r="RZ17" s="33"/>
      <c r="SA17" s="33"/>
      <c r="SB17" s="33"/>
      <c r="SC17" s="137"/>
      <c r="SD17" s="33"/>
      <c r="SE17" s="33"/>
      <c r="SF17" s="33"/>
      <c r="SG17" s="33"/>
      <c r="SH17" s="33"/>
      <c r="SI17" s="74"/>
      <c r="SJ17" s="33"/>
      <c r="SK17" s="33"/>
      <c r="SL17" s="33"/>
      <c r="SM17" s="33"/>
      <c r="SN17" s="33"/>
      <c r="SO17" s="137"/>
      <c r="SP17" s="33"/>
      <c r="SQ17" s="33"/>
      <c r="SR17" s="33"/>
      <c r="SS17" s="33"/>
      <c r="ST17" s="33"/>
      <c r="SU17" s="74"/>
      <c r="SV17" s="64"/>
      <c r="SW17" s="64"/>
      <c r="SX17" s="64"/>
      <c r="SY17" s="64"/>
      <c r="SZ17" s="33"/>
      <c r="TA17" s="137"/>
      <c r="TB17" s="33"/>
      <c r="TC17" s="33"/>
      <c r="TD17" s="33"/>
      <c r="TE17" s="33"/>
      <c r="TF17" s="33"/>
      <c r="TG17" s="74"/>
      <c r="TH17" s="33"/>
      <c r="TI17" s="33"/>
      <c r="TJ17" s="33"/>
      <c r="TK17" s="33"/>
      <c r="TL17" s="33"/>
      <c r="TM17" s="137"/>
      <c r="TN17" s="33"/>
      <c r="TO17" s="33"/>
      <c r="TP17" s="33"/>
      <c r="TQ17" s="33"/>
      <c r="TR17" s="33"/>
      <c r="TS17" s="74"/>
      <c r="TT17" s="33"/>
      <c r="TU17" s="33"/>
      <c r="TV17" s="33"/>
      <c r="TW17" s="33"/>
      <c r="TX17" s="33"/>
      <c r="TY17" s="34"/>
      <c r="TZ17" s="32"/>
      <c r="UA17" s="64"/>
      <c r="UB17" s="64"/>
      <c r="UC17" s="64"/>
      <c r="UD17" s="33"/>
      <c r="UE17" s="132"/>
      <c r="UF17" s="33"/>
      <c r="UG17" s="33"/>
      <c r="UH17" s="33"/>
      <c r="UI17" s="33"/>
      <c r="UJ17" s="33"/>
      <c r="UK17" s="137"/>
      <c r="UL17" s="33"/>
      <c r="UM17" s="33"/>
      <c r="UN17" s="33"/>
      <c r="UO17" s="33"/>
      <c r="UP17" s="33"/>
      <c r="UQ17" s="74"/>
      <c r="UR17" s="33"/>
      <c r="US17" s="33"/>
      <c r="UT17" s="33"/>
      <c r="UU17" s="33"/>
      <c r="UV17" s="33"/>
      <c r="UW17" s="137"/>
      <c r="UX17" s="33"/>
      <c r="UY17" s="33"/>
      <c r="UZ17" s="33"/>
      <c r="VA17" s="33"/>
      <c r="VB17" s="33"/>
      <c r="VC17" s="74"/>
      <c r="VD17" s="64"/>
      <c r="VE17" s="64"/>
      <c r="VF17" s="64"/>
      <c r="VG17" s="64"/>
      <c r="VH17" s="33"/>
      <c r="VI17" s="137"/>
      <c r="VJ17" s="33"/>
      <c r="VK17" s="33"/>
      <c r="VL17" s="33"/>
      <c r="VM17" s="33"/>
      <c r="VN17" s="33"/>
      <c r="VO17" s="74"/>
      <c r="VP17" s="33"/>
      <c r="VQ17" s="33"/>
      <c r="VR17" s="33"/>
      <c r="VS17" s="33"/>
      <c r="VT17" s="33"/>
      <c r="VU17" s="137"/>
      <c r="VV17" s="33"/>
      <c r="VW17" s="33"/>
      <c r="VX17" s="33"/>
      <c r="VY17" s="33"/>
      <c r="VZ17" s="33"/>
      <c r="WA17" s="74"/>
      <c r="WB17" s="33"/>
      <c r="WC17" s="33"/>
      <c r="WD17" s="33"/>
      <c r="WE17" s="33"/>
      <c r="WF17" s="33"/>
      <c r="WG17" s="34"/>
      <c r="WH17" s="32"/>
      <c r="WI17" s="64"/>
      <c r="WJ17" s="64"/>
      <c r="WK17" s="64"/>
      <c r="WL17" s="33"/>
      <c r="WM17" s="132"/>
      <c r="WN17" s="33"/>
      <c r="WO17" s="33"/>
      <c r="WP17" s="33"/>
      <c r="WQ17" s="33"/>
      <c r="WR17" s="33"/>
      <c r="WS17" s="137"/>
      <c r="WT17" s="33"/>
      <c r="WU17" s="33"/>
      <c r="WV17" s="33"/>
      <c r="WW17" s="33"/>
      <c r="WX17" s="33"/>
      <c r="WY17" s="74"/>
      <c r="WZ17" s="33"/>
      <c r="XA17" s="33"/>
      <c r="XB17" s="33"/>
      <c r="XC17" s="33"/>
      <c r="XD17" s="33"/>
      <c r="XE17" s="137"/>
      <c r="XF17" s="33"/>
      <c r="XG17" s="33"/>
      <c r="XH17" s="33"/>
      <c r="XI17" s="33"/>
      <c r="XJ17" s="33"/>
      <c r="XK17" s="74"/>
      <c r="XL17" s="64"/>
      <c r="XM17" s="64"/>
      <c r="XN17" s="64"/>
      <c r="XO17" s="64"/>
      <c r="XP17" s="33"/>
      <c r="XQ17" s="137"/>
      <c r="XR17" s="33"/>
      <c r="XS17" s="33"/>
      <c r="XT17" s="33"/>
      <c r="XU17" s="33"/>
      <c r="XV17" s="33"/>
      <c r="XW17" s="74"/>
      <c r="XX17" s="33"/>
      <c r="XY17" s="33"/>
      <c r="XZ17" s="33"/>
      <c r="YA17" s="33"/>
      <c r="YB17" s="33"/>
      <c r="YC17" s="137"/>
      <c r="YD17" s="33"/>
      <c r="YE17" s="33"/>
      <c r="YF17" s="33"/>
      <c r="YG17" s="33"/>
      <c r="YH17" s="33"/>
      <c r="YI17" s="74"/>
      <c r="YJ17" s="33"/>
      <c r="YK17" s="33"/>
      <c r="YL17" s="33"/>
      <c r="YM17" s="33"/>
      <c r="YN17" s="33"/>
      <c r="YO17" s="34"/>
      <c r="YP17" s="32"/>
      <c r="YQ17" s="64"/>
      <c r="YR17" s="64"/>
      <c r="YS17" s="64"/>
      <c r="YT17" s="33"/>
      <c r="YU17" s="132"/>
      <c r="YV17" s="33"/>
      <c r="YW17" s="33"/>
      <c r="YX17" s="33"/>
      <c r="YY17" s="33"/>
      <c r="YZ17" s="33"/>
      <c r="ZA17" s="137"/>
      <c r="ZB17" s="33"/>
      <c r="ZC17" s="33"/>
      <c r="ZD17" s="33"/>
      <c r="ZE17" s="33"/>
      <c r="ZF17" s="33"/>
      <c r="ZG17" s="74"/>
      <c r="ZH17" s="33"/>
      <c r="ZI17" s="33"/>
      <c r="ZJ17" s="33"/>
      <c r="ZK17" s="33"/>
      <c r="ZL17" s="33"/>
      <c r="ZM17" s="137"/>
      <c r="ZN17" s="33"/>
      <c r="ZO17" s="33"/>
      <c r="ZP17" s="33"/>
      <c r="ZQ17" s="33"/>
      <c r="ZR17" s="33"/>
      <c r="ZS17" s="74"/>
      <c r="ZT17" s="64"/>
      <c r="ZU17" s="64"/>
      <c r="ZV17" s="64"/>
      <c r="ZW17" s="64"/>
      <c r="ZX17" s="33"/>
      <c r="ZY17" s="137"/>
      <c r="ZZ17" s="33"/>
      <c r="AAA17" s="33"/>
      <c r="AAB17" s="33"/>
      <c r="AAC17" s="33"/>
      <c r="AAD17" s="33"/>
      <c r="AAE17" s="74"/>
      <c r="AAF17" s="33"/>
      <c r="AAG17" s="33"/>
      <c r="AAH17" s="33"/>
      <c r="AAI17" s="33"/>
      <c r="AAJ17" s="33"/>
      <c r="AAK17" s="137"/>
      <c r="AAL17" s="33"/>
      <c r="AAM17" s="33"/>
      <c r="AAN17" s="33"/>
      <c r="AAO17" s="33"/>
      <c r="AAP17" s="33"/>
      <c r="AAQ17" s="74"/>
      <c r="AAR17" s="33"/>
      <c r="AAS17" s="33"/>
      <c r="AAT17" s="33"/>
      <c r="AAU17" s="33"/>
      <c r="AAV17" s="33"/>
      <c r="AAW17" s="34"/>
      <c r="AAX17" s="32"/>
      <c r="AAY17" s="64"/>
      <c r="AAZ17" s="64"/>
      <c r="ABA17" s="64"/>
      <c r="ABB17" s="33"/>
      <c r="ABC17" s="132"/>
      <c r="ABD17" s="33"/>
      <c r="ABE17" s="33"/>
      <c r="ABF17" s="33"/>
      <c r="ABG17" s="33"/>
      <c r="ABH17" s="33"/>
      <c r="ABI17" s="137"/>
      <c r="ABJ17" s="33"/>
      <c r="ABK17" s="33"/>
      <c r="ABL17" s="33"/>
      <c r="ABM17" s="33"/>
      <c r="ABN17" s="33"/>
      <c r="ABO17" s="74"/>
      <c r="ABP17" s="33"/>
      <c r="ABQ17" s="33"/>
      <c r="ABR17" s="33"/>
      <c r="ABS17" s="33"/>
      <c r="ABT17" s="33"/>
      <c r="ABU17" s="137"/>
      <c r="ABV17" s="33"/>
      <c r="ABW17" s="33"/>
      <c r="ABX17" s="33"/>
      <c r="ABY17" s="33"/>
      <c r="ABZ17" s="33"/>
      <c r="ACA17" s="74"/>
      <c r="ACB17" s="64"/>
      <c r="ACC17" s="64"/>
      <c r="ACD17" s="64"/>
      <c r="ACE17" s="64"/>
      <c r="ACF17" s="33"/>
      <c r="ACG17" s="137"/>
      <c r="ACH17" s="33"/>
      <c r="ACI17" s="33"/>
      <c r="ACJ17" s="33"/>
      <c r="ACK17" s="33"/>
      <c r="ACL17" s="33"/>
      <c r="ACM17" s="74"/>
      <c r="ACN17" s="33"/>
      <c r="ACO17" s="33"/>
      <c r="ACP17" s="33"/>
      <c r="ACQ17" s="33"/>
      <c r="ACR17" s="33"/>
      <c r="ACS17" s="137"/>
      <c r="ACT17" s="33"/>
      <c r="ACU17" s="33"/>
      <c r="ACV17" s="33"/>
      <c r="ACW17" s="33"/>
      <c r="ACX17" s="33"/>
      <c r="ACY17" s="74"/>
      <c r="ACZ17" s="33"/>
      <c r="ADA17" s="33"/>
      <c r="ADB17" s="33"/>
      <c r="ADC17" s="33"/>
      <c r="ADD17" s="33"/>
      <c r="ADE17" s="34"/>
      <c r="ADF17" s="32"/>
      <c r="ADG17" s="64"/>
      <c r="ADH17" s="64"/>
      <c r="ADI17" s="64"/>
      <c r="ADJ17" s="33"/>
      <c r="ADK17" s="132"/>
      <c r="ADL17" s="33"/>
      <c r="ADM17" s="33"/>
      <c r="ADN17" s="33"/>
      <c r="ADO17" s="33"/>
      <c r="ADP17" s="33"/>
      <c r="ADQ17" s="137"/>
      <c r="ADR17" s="33"/>
      <c r="ADS17" s="33"/>
      <c r="ADT17" s="33"/>
      <c r="ADU17" s="33"/>
      <c r="ADV17" s="33"/>
      <c r="ADW17" s="74"/>
      <c r="ADX17" s="33"/>
      <c r="ADY17" s="33"/>
      <c r="ADZ17" s="33"/>
      <c r="AEA17" s="33"/>
      <c r="AEB17" s="33"/>
      <c r="AEC17" s="137"/>
      <c r="AED17" s="33"/>
      <c r="AEE17" s="33"/>
      <c r="AEF17" s="33"/>
      <c r="AEG17" s="33"/>
      <c r="AEH17" s="33"/>
      <c r="AEI17" s="74"/>
      <c r="AEJ17" s="64"/>
      <c r="AEK17" s="64"/>
      <c r="AEL17" s="64"/>
      <c r="AEM17" s="64"/>
      <c r="AEN17" s="33"/>
      <c r="AEO17" s="137"/>
      <c r="AEP17" s="33"/>
      <c r="AEQ17" s="33"/>
      <c r="AER17" s="33"/>
      <c r="AES17" s="33"/>
      <c r="AET17" s="33"/>
      <c r="AEU17" s="74"/>
      <c r="AEV17" s="33"/>
      <c r="AEW17" s="33"/>
      <c r="AEX17" s="33"/>
      <c r="AEY17" s="33"/>
      <c r="AEZ17" s="33"/>
      <c r="AFA17" s="137"/>
      <c r="AFB17" s="33"/>
      <c r="AFC17" s="33"/>
      <c r="AFD17" s="33"/>
      <c r="AFE17" s="33"/>
      <c r="AFF17" s="33"/>
      <c r="AFG17" s="74"/>
      <c r="AFH17" s="33"/>
      <c r="AFI17" s="33"/>
      <c r="AFJ17" s="33"/>
      <c r="AFK17" s="33"/>
      <c r="AFL17" s="33"/>
      <c r="AFM17" s="34"/>
      <c r="AFN17" s="90"/>
    </row>
    <row r="18" spans="1:846" ht="20.100000000000001" customHeight="1" x14ac:dyDescent="0.3">
      <c r="A18" s="100" t="s">
        <v>21</v>
      </c>
      <c r="B18" s="63" t="str">
        <f>IF(LEN(C21)=0,"",C21)</f>
        <v>Réalisation - Calendrier</v>
      </c>
      <c r="C18" s="219"/>
      <c r="D18" s="148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36"/>
      <c r="RS18" s="65"/>
      <c r="RT18" s="65"/>
      <c r="RU18" s="65"/>
      <c r="RV18" s="37"/>
      <c r="RW18" s="133"/>
      <c r="RX18" s="37"/>
      <c r="RY18" s="37"/>
      <c r="RZ18" s="37"/>
      <c r="SA18" s="37"/>
      <c r="SB18" s="37"/>
      <c r="SC18" s="138"/>
      <c r="SD18" s="37"/>
      <c r="SE18" s="37"/>
      <c r="SF18" s="37"/>
      <c r="SG18" s="37"/>
      <c r="SH18" s="37"/>
      <c r="SI18" s="75"/>
      <c r="SJ18" s="37"/>
      <c r="SK18" s="37"/>
      <c r="SL18" s="37"/>
      <c r="SM18" s="37"/>
      <c r="SN18" s="37"/>
      <c r="SO18" s="138"/>
      <c r="SP18" s="37"/>
      <c r="SQ18" s="37"/>
      <c r="SR18" s="37"/>
      <c r="SS18" s="37"/>
      <c r="ST18" s="37"/>
      <c r="SU18" s="75"/>
      <c r="SV18" s="65"/>
      <c r="SW18" s="65"/>
      <c r="SX18" s="65"/>
      <c r="SY18" s="65"/>
      <c r="SZ18" s="37"/>
      <c r="TA18" s="138"/>
      <c r="TB18" s="37"/>
      <c r="TC18" s="37"/>
      <c r="TD18" s="37"/>
      <c r="TE18" s="37"/>
      <c r="TF18" s="37"/>
      <c r="TG18" s="75"/>
      <c r="TH18" s="37"/>
      <c r="TI18" s="37"/>
      <c r="TJ18" s="37"/>
      <c r="TK18" s="37"/>
      <c r="TL18" s="37"/>
      <c r="TM18" s="138"/>
      <c r="TN18" s="37"/>
      <c r="TO18" s="37"/>
      <c r="TP18" s="37"/>
      <c r="TQ18" s="37"/>
      <c r="TR18" s="37"/>
      <c r="TS18" s="75"/>
      <c r="TT18" s="37"/>
      <c r="TU18" s="37"/>
      <c r="TV18" s="37"/>
      <c r="TW18" s="37"/>
      <c r="TX18" s="37"/>
      <c r="TY18" s="38"/>
      <c r="TZ18" s="36"/>
      <c r="UA18" s="65"/>
      <c r="UB18" s="65"/>
      <c r="UC18" s="65"/>
      <c r="UD18" s="37"/>
      <c r="UE18" s="133"/>
      <c r="UF18" s="37"/>
      <c r="UG18" s="37"/>
      <c r="UH18" s="37"/>
      <c r="UI18" s="37"/>
      <c r="UJ18" s="37"/>
      <c r="UK18" s="138"/>
      <c r="UL18" s="37"/>
      <c r="UM18" s="37"/>
      <c r="UN18" s="37"/>
      <c r="UO18" s="37"/>
      <c r="UP18" s="37"/>
      <c r="UQ18" s="75"/>
      <c r="UR18" s="37"/>
      <c r="US18" s="37"/>
      <c r="UT18" s="37"/>
      <c r="UU18" s="37"/>
      <c r="UV18" s="37"/>
      <c r="UW18" s="138"/>
      <c r="UX18" s="37"/>
      <c r="UY18" s="37"/>
      <c r="UZ18" s="37"/>
      <c r="VA18" s="37"/>
      <c r="VB18" s="37"/>
      <c r="VC18" s="75"/>
      <c r="VD18" s="65"/>
      <c r="VE18" s="65"/>
      <c r="VF18" s="65"/>
      <c r="VG18" s="65"/>
      <c r="VH18" s="37"/>
      <c r="VI18" s="138"/>
      <c r="VJ18" s="37"/>
      <c r="VK18" s="37"/>
      <c r="VL18" s="37"/>
      <c r="VM18" s="37"/>
      <c r="VN18" s="37"/>
      <c r="VO18" s="75"/>
      <c r="VP18" s="37"/>
      <c r="VQ18" s="37"/>
      <c r="VR18" s="37"/>
      <c r="VS18" s="37"/>
      <c r="VT18" s="37"/>
      <c r="VU18" s="138"/>
      <c r="VV18" s="37"/>
      <c r="VW18" s="37"/>
      <c r="VX18" s="37"/>
      <c r="VY18" s="37"/>
      <c r="VZ18" s="37"/>
      <c r="WA18" s="75"/>
      <c r="WB18" s="37"/>
      <c r="WC18" s="37"/>
      <c r="WD18" s="37"/>
      <c r="WE18" s="37"/>
      <c r="WF18" s="37"/>
      <c r="WG18" s="38"/>
      <c r="WH18" s="36"/>
      <c r="WI18" s="65"/>
      <c r="WJ18" s="65"/>
      <c r="WK18" s="65"/>
      <c r="WL18" s="37"/>
      <c r="WM18" s="133"/>
      <c r="WN18" s="37"/>
      <c r="WO18" s="37"/>
      <c r="WP18" s="37"/>
      <c r="WQ18" s="37"/>
      <c r="WR18" s="37"/>
      <c r="WS18" s="138"/>
      <c r="WT18" s="37"/>
      <c r="WU18" s="37"/>
      <c r="WV18" s="37"/>
      <c r="WW18" s="37"/>
      <c r="WX18" s="37"/>
      <c r="WY18" s="75"/>
      <c r="WZ18" s="37"/>
      <c r="XA18" s="37"/>
      <c r="XB18" s="37"/>
      <c r="XC18" s="37"/>
      <c r="XD18" s="37"/>
      <c r="XE18" s="138"/>
      <c r="XF18" s="37"/>
      <c r="XG18" s="37"/>
      <c r="XH18" s="37"/>
      <c r="XI18" s="37"/>
      <c r="XJ18" s="37"/>
      <c r="XK18" s="75"/>
      <c r="XL18" s="65"/>
      <c r="XM18" s="65"/>
      <c r="XN18" s="65"/>
      <c r="XO18" s="65"/>
      <c r="XP18" s="37"/>
      <c r="XQ18" s="138"/>
      <c r="XR18" s="37"/>
      <c r="XS18" s="37"/>
      <c r="XT18" s="37"/>
      <c r="XU18" s="37"/>
      <c r="XV18" s="37"/>
      <c r="XW18" s="75"/>
      <c r="XX18" s="37"/>
      <c r="XY18" s="37"/>
      <c r="XZ18" s="37"/>
      <c r="YA18" s="37"/>
      <c r="YB18" s="37"/>
      <c r="YC18" s="138"/>
      <c r="YD18" s="37"/>
      <c r="YE18" s="37"/>
      <c r="YF18" s="37"/>
      <c r="YG18" s="37"/>
      <c r="YH18" s="37"/>
      <c r="YI18" s="75"/>
      <c r="YJ18" s="37"/>
      <c r="YK18" s="37"/>
      <c r="YL18" s="37"/>
      <c r="YM18" s="37"/>
      <c r="YN18" s="37"/>
      <c r="YO18" s="38"/>
      <c r="YP18" s="36"/>
      <c r="YQ18" s="65"/>
      <c r="YR18" s="65"/>
      <c r="YS18" s="65"/>
      <c r="YT18" s="37"/>
      <c r="YU18" s="133"/>
      <c r="YV18" s="37"/>
      <c r="YW18" s="37"/>
      <c r="YX18" s="37"/>
      <c r="YY18" s="37"/>
      <c r="YZ18" s="37"/>
      <c r="ZA18" s="138"/>
      <c r="ZB18" s="37"/>
      <c r="ZC18" s="37"/>
      <c r="ZD18" s="37"/>
      <c r="ZE18" s="37"/>
      <c r="ZF18" s="37"/>
      <c r="ZG18" s="75"/>
      <c r="ZH18" s="37"/>
      <c r="ZI18" s="37"/>
      <c r="ZJ18" s="37"/>
      <c r="ZK18" s="37"/>
      <c r="ZL18" s="37"/>
      <c r="ZM18" s="138"/>
      <c r="ZN18" s="37"/>
      <c r="ZO18" s="37"/>
      <c r="ZP18" s="37"/>
      <c r="ZQ18" s="37"/>
      <c r="ZR18" s="37"/>
      <c r="ZS18" s="75"/>
      <c r="ZT18" s="65"/>
      <c r="ZU18" s="65"/>
      <c r="ZV18" s="65"/>
      <c r="ZW18" s="65"/>
      <c r="ZX18" s="37"/>
      <c r="ZY18" s="138"/>
      <c r="ZZ18" s="37"/>
      <c r="AAA18" s="37"/>
      <c r="AAB18" s="37"/>
      <c r="AAC18" s="37"/>
      <c r="AAD18" s="37"/>
      <c r="AAE18" s="75"/>
      <c r="AAF18" s="37"/>
      <c r="AAG18" s="37"/>
      <c r="AAH18" s="37"/>
      <c r="AAI18" s="37"/>
      <c r="AAJ18" s="37"/>
      <c r="AAK18" s="138"/>
      <c r="AAL18" s="37"/>
      <c r="AAM18" s="37"/>
      <c r="AAN18" s="37"/>
      <c r="AAO18" s="37"/>
      <c r="AAP18" s="37"/>
      <c r="AAQ18" s="75"/>
      <c r="AAR18" s="37"/>
      <c r="AAS18" s="37"/>
      <c r="AAT18" s="37"/>
      <c r="AAU18" s="37"/>
      <c r="AAV18" s="37"/>
      <c r="AAW18" s="38"/>
      <c r="AAX18" s="36"/>
      <c r="AAY18" s="65"/>
      <c r="AAZ18" s="65"/>
      <c r="ABA18" s="65"/>
      <c r="ABB18" s="37"/>
      <c r="ABC18" s="133"/>
      <c r="ABD18" s="37"/>
      <c r="ABE18" s="37"/>
      <c r="ABF18" s="37"/>
      <c r="ABG18" s="37"/>
      <c r="ABH18" s="37"/>
      <c r="ABI18" s="138"/>
      <c r="ABJ18" s="37"/>
      <c r="ABK18" s="37"/>
      <c r="ABL18" s="37"/>
      <c r="ABM18" s="37"/>
      <c r="ABN18" s="37"/>
      <c r="ABO18" s="75"/>
      <c r="ABP18" s="37"/>
      <c r="ABQ18" s="37"/>
      <c r="ABR18" s="37"/>
      <c r="ABS18" s="37"/>
      <c r="ABT18" s="37"/>
      <c r="ABU18" s="138"/>
      <c r="ABV18" s="37"/>
      <c r="ABW18" s="37"/>
      <c r="ABX18" s="37"/>
      <c r="ABY18" s="37"/>
      <c r="ABZ18" s="37"/>
      <c r="ACA18" s="75"/>
      <c r="ACB18" s="65"/>
      <c r="ACC18" s="65"/>
      <c r="ACD18" s="65"/>
      <c r="ACE18" s="65"/>
      <c r="ACF18" s="37"/>
      <c r="ACG18" s="138"/>
      <c r="ACH18" s="37"/>
      <c r="ACI18" s="37"/>
      <c r="ACJ18" s="37"/>
      <c r="ACK18" s="37"/>
      <c r="ACL18" s="37"/>
      <c r="ACM18" s="75"/>
      <c r="ACN18" s="37"/>
      <c r="ACO18" s="37"/>
      <c r="ACP18" s="37"/>
      <c r="ACQ18" s="37"/>
      <c r="ACR18" s="37"/>
      <c r="ACS18" s="138"/>
      <c r="ACT18" s="37"/>
      <c r="ACU18" s="37"/>
      <c r="ACV18" s="37"/>
      <c r="ACW18" s="37"/>
      <c r="ACX18" s="37"/>
      <c r="ACY18" s="75"/>
      <c r="ACZ18" s="37"/>
      <c r="ADA18" s="37"/>
      <c r="ADB18" s="37"/>
      <c r="ADC18" s="37"/>
      <c r="ADD18" s="37"/>
      <c r="ADE18" s="38"/>
      <c r="ADF18" s="36"/>
      <c r="ADG18" s="65"/>
      <c r="ADH18" s="65"/>
      <c r="ADI18" s="65"/>
      <c r="ADJ18" s="37"/>
      <c r="ADK18" s="133"/>
      <c r="ADL18" s="37"/>
      <c r="ADM18" s="37"/>
      <c r="ADN18" s="37"/>
      <c r="ADO18" s="37"/>
      <c r="ADP18" s="37"/>
      <c r="ADQ18" s="138"/>
      <c r="ADR18" s="37"/>
      <c r="ADS18" s="37"/>
      <c r="ADT18" s="37"/>
      <c r="ADU18" s="37"/>
      <c r="ADV18" s="37"/>
      <c r="ADW18" s="75"/>
      <c r="ADX18" s="37"/>
      <c r="ADY18" s="37"/>
      <c r="ADZ18" s="37"/>
      <c r="AEA18" s="37"/>
      <c r="AEB18" s="37"/>
      <c r="AEC18" s="138"/>
      <c r="AED18" s="37"/>
      <c r="AEE18" s="37"/>
      <c r="AEF18" s="37"/>
      <c r="AEG18" s="37"/>
      <c r="AEH18" s="37"/>
      <c r="AEI18" s="75"/>
      <c r="AEJ18" s="65"/>
      <c r="AEK18" s="65"/>
      <c r="AEL18" s="65"/>
      <c r="AEM18" s="65"/>
      <c r="AEN18" s="37"/>
      <c r="AEO18" s="138"/>
      <c r="AEP18" s="37"/>
      <c r="AEQ18" s="37"/>
      <c r="AER18" s="37"/>
      <c r="AES18" s="37"/>
      <c r="AET18" s="37"/>
      <c r="AEU18" s="75"/>
      <c r="AEV18" s="37"/>
      <c r="AEW18" s="37"/>
      <c r="AEX18" s="37"/>
      <c r="AEY18" s="37"/>
      <c r="AEZ18" s="37"/>
      <c r="AFA18" s="138"/>
      <c r="AFB18" s="37"/>
      <c r="AFC18" s="37"/>
      <c r="AFD18" s="37"/>
      <c r="AFE18" s="37"/>
      <c r="AFF18" s="37"/>
      <c r="AFG18" s="75"/>
      <c r="AFH18" s="37"/>
      <c r="AFI18" s="37"/>
      <c r="AFJ18" s="37"/>
      <c r="AFK18" s="37"/>
      <c r="AFL18" s="37"/>
      <c r="AFM18" s="38"/>
      <c r="AFN18" s="90"/>
    </row>
    <row r="19" spans="1:846" ht="20.100000000000001" customHeight="1" x14ac:dyDescent="0.25">
      <c r="A19" s="100" t="s">
        <v>20</v>
      </c>
      <c r="B19" s="63" t="str">
        <f>IF(LEN(C23)=0,"",C23)</f>
        <v>Réalisation - Ajout des tâches</v>
      </c>
      <c r="C19" s="218" t="s">
        <v>33</v>
      </c>
      <c r="D19" s="146" t="str">
        <f t="shared" si="0"/>
        <v>8h15min</v>
      </c>
      <c r="E19" s="39">
        <v>99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176"/>
      <c r="Y19" s="176"/>
      <c r="Z19" s="176"/>
      <c r="AA19" s="176"/>
      <c r="AB19" s="176"/>
      <c r="AC19" s="178"/>
      <c r="AD19" s="176"/>
      <c r="AE19" s="176"/>
      <c r="AF19" s="176"/>
      <c r="AG19" s="176"/>
      <c r="AH19" s="176"/>
      <c r="AI19" s="179"/>
      <c r="AJ19" s="175"/>
      <c r="AK19" s="175"/>
      <c r="AL19" s="175"/>
      <c r="AM19" s="175"/>
      <c r="AN19" s="176"/>
      <c r="AO19" s="178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174"/>
      <c r="DW19" s="175"/>
      <c r="DX19" s="175"/>
      <c r="DY19" s="175"/>
      <c r="DZ19" s="176"/>
      <c r="EA19" s="177"/>
      <c r="EB19" s="176"/>
      <c r="EC19" s="176"/>
      <c r="ED19" s="176"/>
      <c r="EE19" s="176"/>
      <c r="EF19" s="176"/>
      <c r="EG19" s="178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176"/>
      <c r="GQ19" s="176"/>
      <c r="GR19" s="176"/>
      <c r="GS19" s="176"/>
      <c r="GT19" s="176"/>
      <c r="GU19" s="179"/>
      <c r="GV19" s="176"/>
      <c r="GW19" s="176"/>
      <c r="GX19" s="176"/>
      <c r="GY19" s="176"/>
      <c r="GZ19" s="176"/>
      <c r="HA19" s="178"/>
      <c r="HB19" s="176"/>
      <c r="HC19" s="176"/>
      <c r="HD19" s="176"/>
      <c r="HE19" s="176"/>
      <c r="HF19" s="176"/>
      <c r="HG19" s="179"/>
      <c r="HH19" s="175"/>
      <c r="HI19" s="175"/>
      <c r="HJ19" s="175"/>
      <c r="HK19" s="175"/>
      <c r="HL19" s="176"/>
      <c r="HM19" s="178"/>
      <c r="HN19" s="176"/>
      <c r="HO19" s="176"/>
      <c r="HP19" s="176"/>
      <c r="HQ19" s="176"/>
      <c r="HR19" s="176"/>
      <c r="HS19" s="179"/>
      <c r="HT19" s="176"/>
      <c r="HU19" s="176"/>
      <c r="HV19" s="176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174"/>
      <c r="IM19" s="175"/>
      <c r="IN19" s="175"/>
      <c r="IO19" s="175"/>
      <c r="IP19" s="176"/>
      <c r="IQ19" s="177"/>
      <c r="IR19" s="176"/>
      <c r="IS19" s="176"/>
      <c r="IT19" s="176"/>
      <c r="IU19" s="176"/>
      <c r="IV19" s="176"/>
      <c r="IW19" s="178"/>
      <c r="IX19" s="176"/>
      <c r="IY19" s="176"/>
      <c r="IZ19" s="176"/>
      <c r="JA19" s="176"/>
      <c r="JB19" s="176"/>
      <c r="JC19" s="179"/>
      <c r="JD19" s="176"/>
      <c r="JE19" s="176"/>
      <c r="JF19" s="176"/>
      <c r="JG19" s="176"/>
      <c r="JH19" s="176"/>
      <c r="JI19" s="178"/>
      <c r="JJ19" s="176"/>
      <c r="JK19" s="176"/>
      <c r="JL19" s="176"/>
      <c r="JM19" s="176"/>
      <c r="JN19" s="176"/>
      <c r="JO19" s="179"/>
      <c r="JP19" s="175"/>
      <c r="JQ19" s="175"/>
      <c r="JR19" s="175"/>
      <c r="JS19" s="175"/>
      <c r="JT19" s="176"/>
      <c r="JU19" s="178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40"/>
      <c r="RS19" s="66"/>
      <c r="RT19" s="66"/>
      <c r="RU19" s="66"/>
      <c r="RV19" s="41"/>
      <c r="RW19" s="134"/>
      <c r="RX19" s="41"/>
      <c r="RY19" s="41"/>
      <c r="RZ19" s="41"/>
      <c r="SA19" s="41"/>
      <c r="SB19" s="41"/>
      <c r="SC19" s="139"/>
      <c r="SD19" s="41"/>
      <c r="SE19" s="41"/>
      <c r="SF19" s="41"/>
      <c r="SG19" s="41"/>
      <c r="SH19" s="41"/>
      <c r="SI19" s="76"/>
      <c r="SJ19" s="41"/>
      <c r="SK19" s="41"/>
      <c r="SL19" s="41"/>
      <c r="SM19" s="41"/>
      <c r="SN19" s="41"/>
      <c r="SO19" s="139"/>
      <c r="SP19" s="41"/>
      <c r="SQ19" s="41"/>
      <c r="SR19" s="41"/>
      <c r="SS19" s="41"/>
      <c r="ST19" s="41"/>
      <c r="SU19" s="76"/>
      <c r="SV19" s="66"/>
      <c r="SW19" s="66"/>
      <c r="SX19" s="66"/>
      <c r="SY19" s="66"/>
      <c r="SZ19" s="41"/>
      <c r="TA19" s="139"/>
      <c r="TB19" s="41"/>
      <c r="TC19" s="41"/>
      <c r="TD19" s="41"/>
      <c r="TE19" s="41"/>
      <c r="TF19" s="41"/>
      <c r="TG19" s="76"/>
      <c r="TH19" s="41"/>
      <c r="TI19" s="41"/>
      <c r="TJ19" s="41"/>
      <c r="TK19" s="41"/>
      <c r="TL19" s="41"/>
      <c r="TM19" s="139"/>
      <c r="TN19" s="41"/>
      <c r="TO19" s="41"/>
      <c r="TP19" s="41"/>
      <c r="TQ19" s="41"/>
      <c r="TR19" s="41"/>
      <c r="TS19" s="76"/>
      <c r="TT19" s="41"/>
      <c r="TU19" s="41"/>
      <c r="TV19" s="41"/>
      <c r="TW19" s="41"/>
      <c r="TX19" s="41"/>
      <c r="TY19" s="42"/>
      <c r="TZ19" s="40"/>
      <c r="UA19" s="66"/>
      <c r="UB19" s="66"/>
      <c r="UC19" s="66"/>
      <c r="UD19" s="41"/>
      <c r="UE19" s="134"/>
      <c r="UF19" s="41"/>
      <c r="UG19" s="41"/>
      <c r="UH19" s="41"/>
      <c r="UI19" s="41"/>
      <c r="UJ19" s="41"/>
      <c r="UK19" s="139"/>
      <c r="UL19" s="41"/>
      <c r="UM19" s="41"/>
      <c r="UN19" s="41"/>
      <c r="UO19" s="41"/>
      <c r="UP19" s="41"/>
      <c r="UQ19" s="76"/>
      <c r="UR19" s="41"/>
      <c r="US19" s="41"/>
      <c r="UT19" s="41"/>
      <c r="UU19" s="41"/>
      <c r="UV19" s="41"/>
      <c r="UW19" s="139"/>
      <c r="UX19" s="41"/>
      <c r="UY19" s="41"/>
      <c r="UZ19" s="41"/>
      <c r="VA19" s="41"/>
      <c r="VB19" s="41"/>
      <c r="VC19" s="76"/>
      <c r="VD19" s="66"/>
      <c r="VE19" s="66"/>
      <c r="VF19" s="66"/>
      <c r="VG19" s="66"/>
      <c r="VH19" s="41"/>
      <c r="VI19" s="139"/>
      <c r="VJ19" s="41"/>
      <c r="VK19" s="41"/>
      <c r="VL19" s="41"/>
      <c r="VM19" s="41"/>
      <c r="VN19" s="41"/>
      <c r="VO19" s="76"/>
      <c r="VP19" s="41"/>
      <c r="VQ19" s="41"/>
      <c r="VR19" s="41"/>
      <c r="VS19" s="41"/>
      <c r="VT19" s="41"/>
      <c r="VU19" s="139"/>
      <c r="VV19" s="41"/>
      <c r="VW19" s="41"/>
      <c r="VX19" s="41"/>
      <c r="VY19" s="41"/>
      <c r="VZ19" s="41"/>
      <c r="WA19" s="76"/>
      <c r="WB19" s="41"/>
      <c r="WC19" s="41"/>
      <c r="WD19" s="41"/>
      <c r="WE19" s="41"/>
      <c r="WF19" s="41"/>
      <c r="WG19" s="42"/>
      <c r="WH19" s="40"/>
      <c r="WI19" s="66"/>
      <c r="WJ19" s="66"/>
      <c r="WK19" s="66"/>
      <c r="WL19" s="41"/>
      <c r="WM19" s="134"/>
      <c r="WN19" s="41"/>
      <c r="WO19" s="41"/>
      <c r="WP19" s="41"/>
      <c r="WQ19" s="41"/>
      <c r="WR19" s="41"/>
      <c r="WS19" s="139"/>
      <c r="WT19" s="41"/>
      <c r="WU19" s="41"/>
      <c r="WV19" s="41"/>
      <c r="WW19" s="41"/>
      <c r="WX19" s="41"/>
      <c r="WY19" s="76"/>
      <c r="WZ19" s="41"/>
      <c r="XA19" s="41"/>
      <c r="XB19" s="41"/>
      <c r="XC19" s="41"/>
      <c r="XD19" s="41"/>
      <c r="XE19" s="139"/>
      <c r="XF19" s="41"/>
      <c r="XG19" s="41"/>
      <c r="XH19" s="41"/>
      <c r="XI19" s="41"/>
      <c r="XJ19" s="41"/>
      <c r="XK19" s="76"/>
      <c r="XL19" s="66"/>
      <c r="XM19" s="66"/>
      <c r="XN19" s="66"/>
      <c r="XO19" s="66"/>
      <c r="XP19" s="41"/>
      <c r="XQ19" s="139"/>
      <c r="XR19" s="41"/>
      <c r="XS19" s="41"/>
      <c r="XT19" s="41"/>
      <c r="XU19" s="41"/>
      <c r="XV19" s="41"/>
      <c r="XW19" s="76"/>
      <c r="XX19" s="41"/>
      <c r="XY19" s="41"/>
      <c r="XZ19" s="41"/>
      <c r="YA19" s="41"/>
      <c r="YB19" s="41"/>
      <c r="YC19" s="139"/>
      <c r="YD19" s="41"/>
      <c r="YE19" s="41"/>
      <c r="YF19" s="41"/>
      <c r="YG19" s="41"/>
      <c r="YH19" s="41"/>
      <c r="YI19" s="76"/>
      <c r="YJ19" s="41"/>
      <c r="YK19" s="41"/>
      <c r="YL19" s="41"/>
      <c r="YM19" s="41"/>
      <c r="YN19" s="41"/>
      <c r="YO19" s="42"/>
      <c r="YP19" s="40"/>
      <c r="YQ19" s="66"/>
      <c r="YR19" s="66"/>
      <c r="YS19" s="66"/>
      <c r="YT19" s="41"/>
      <c r="YU19" s="134"/>
      <c r="YV19" s="41"/>
      <c r="YW19" s="41"/>
      <c r="YX19" s="41"/>
      <c r="YY19" s="41"/>
      <c r="YZ19" s="41"/>
      <c r="ZA19" s="139"/>
      <c r="ZB19" s="41"/>
      <c r="ZC19" s="41"/>
      <c r="ZD19" s="41"/>
      <c r="ZE19" s="41"/>
      <c r="ZF19" s="41"/>
      <c r="ZG19" s="76"/>
      <c r="ZH19" s="41"/>
      <c r="ZI19" s="41"/>
      <c r="ZJ19" s="41"/>
      <c r="ZK19" s="41"/>
      <c r="ZL19" s="41"/>
      <c r="ZM19" s="139"/>
      <c r="ZN19" s="41"/>
      <c r="ZO19" s="41"/>
      <c r="ZP19" s="41"/>
      <c r="ZQ19" s="41"/>
      <c r="ZR19" s="41"/>
      <c r="ZS19" s="76"/>
      <c r="ZT19" s="66"/>
      <c r="ZU19" s="66"/>
      <c r="ZV19" s="66"/>
      <c r="ZW19" s="66"/>
      <c r="ZX19" s="41"/>
      <c r="ZY19" s="139"/>
      <c r="ZZ19" s="41"/>
      <c r="AAA19" s="41"/>
      <c r="AAB19" s="41"/>
      <c r="AAC19" s="41"/>
      <c r="AAD19" s="41"/>
      <c r="AAE19" s="76"/>
      <c r="AAF19" s="41"/>
      <c r="AAG19" s="41"/>
      <c r="AAH19" s="41"/>
      <c r="AAI19" s="41"/>
      <c r="AAJ19" s="41"/>
      <c r="AAK19" s="139"/>
      <c r="AAL19" s="41"/>
      <c r="AAM19" s="41"/>
      <c r="AAN19" s="41"/>
      <c r="AAO19" s="41"/>
      <c r="AAP19" s="41"/>
      <c r="AAQ19" s="76"/>
      <c r="AAR19" s="41"/>
      <c r="AAS19" s="41"/>
      <c r="AAT19" s="41"/>
      <c r="AAU19" s="41"/>
      <c r="AAV19" s="41"/>
      <c r="AAW19" s="42"/>
      <c r="AAX19" s="40"/>
      <c r="AAY19" s="66"/>
      <c r="AAZ19" s="66"/>
      <c r="ABA19" s="66"/>
      <c r="ABB19" s="41"/>
      <c r="ABC19" s="134"/>
      <c r="ABD19" s="41"/>
      <c r="ABE19" s="41"/>
      <c r="ABF19" s="41"/>
      <c r="ABG19" s="41"/>
      <c r="ABH19" s="41"/>
      <c r="ABI19" s="139"/>
      <c r="ABJ19" s="41"/>
      <c r="ABK19" s="41"/>
      <c r="ABL19" s="41"/>
      <c r="ABM19" s="41"/>
      <c r="ABN19" s="41"/>
      <c r="ABO19" s="76"/>
      <c r="ABP19" s="41"/>
      <c r="ABQ19" s="41"/>
      <c r="ABR19" s="41"/>
      <c r="ABS19" s="41"/>
      <c r="ABT19" s="41"/>
      <c r="ABU19" s="139"/>
      <c r="ABV19" s="41"/>
      <c r="ABW19" s="41"/>
      <c r="ABX19" s="41"/>
      <c r="ABY19" s="41"/>
      <c r="ABZ19" s="41"/>
      <c r="ACA19" s="76"/>
      <c r="ACB19" s="66"/>
      <c r="ACC19" s="66"/>
      <c r="ACD19" s="66"/>
      <c r="ACE19" s="66"/>
      <c r="ACF19" s="41"/>
      <c r="ACG19" s="139"/>
      <c r="ACH19" s="41"/>
      <c r="ACI19" s="41"/>
      <c r="ACJ19" s="41"/>
      <c r="ACK19" s="41"/>
      <c r="ACL19" s="41"/>
      <c r="ACM19" s="76"/>
      <c r="ACN19" s="41"/>
      <c r="ACO19" s="41"/>
      <c r="ACP19" s="41"/>
      <c r="ACQ19" s="41"/>
      <c r="ACR19" s="41"/>
      <c r="ACS19" s="139"/>
      <c r="ACT19" s="41"/>
      <c r="ACU19" s="41"/>
      <c r="ACV19" s="41"/>
      <c r="ACW19" s="41"/>
      <c r="ACX19" s="41"/>
      <c r="ACY19" s="76"/>
      <c r="ACZ19" s="41"/>
      <c r="ADA19" s="41"/>
      <c r="ADB19" s="41"/>
      <c r="ADC19" s="41"/>
      <c r="ADD19" s="41"/>
      <c r="ADE19" s="42"/>
      <c r="ADF19" s="40"/>
      <c r="ADG19" s="66"/>
      <c r="ADH19" s="66"/>
      <c r="ADI19" s="66"/>
      <c r="ADJ19" s="41"/>
      <c r="ADK19" s="134"/>
      <c r="ADL19" s="41"/>
      <c r="ADM19" s="41"/>
      <c r="ADN19" s="41"/>
      <c r="ADO19" s="41"/>
      <c r="ADP19" s="41"/>
      <c r="ADQ19" s="139"/>
      <c r="ADR19" s="41"/>
      <c r="ADS19" s="41"/>
      <c r="ADT19" s="41"/>
      <c r="ADU19" s="41"/>
      <c r="ADV19" s="41"/>
      <c r="ADW19" s="76"/>
      <c r="ADX19" s="41"/>
      <c r="ADY19" s="41"/>
      <c r="ADZ19" s="41"/>
      <c r="AEA19" s="41"/>
      <c r="AEB19" s="41"/>
      <c r="AEC19" s="139"/>
      <c r="AED19" s="41"/>
      <c r="AEE19" s="41"/>
      <c r="AEF19" s="41"/>
      <c r="AEG19" s="41"/>
      <c r="AEH19" s="41"/>
      <c r="AEI19" s="76"/>
      <c r="AEJ19" s="66"/>
      <c r="AEK19" s="66"/>
      <c r="AEL19" s="66"/>
      <c r="AEM19" s="66"/>
      <c r="AEN19" s="41"/>
      <c r="AEO19" s="139"/>
      <c r="AEP19" s="41"/>
      <c r="AEQ19" s="41"/>
      <c r="AER19" s="41"/>
      <c r="AES19" s="41"/>
      <c r="AET19" s="41"/>
      <c r="AEU19" s="76"/>
      <c r="AEV19" s="41"/>
      <c r="AEW19" s="41"/>
      <c r="AEX19" s="41"/>
      <c r="AEY19" s="41"/>
      <c r="AEZ19" s="41"/>
      <c r="AFA19" s="139"/>
      <c r="AFB19" s="41"/>
      <c r="AFC19" s="41"/>
      <c r="AFD19" s="41"/>
      <c r="AFE19" s="41"/>
      <c r="AFF19" s="41"/>
      <c r="AFG19" s="76"/>
      <c r="AFH19" s="41"/>
      <c r="AFI19" s="41"/>
      <c r="AFJ19" s="41"/>
      <c r="AFK19" s="41"/>
      <c r="AFL19" s="41"/>
      <c r="AFM19" s="42"/>
      <c r="AFN19" s="90"/>
    </row>
    <row r="20" spans="1:846" ht="20.100000000000001" customHeight="1" x14ac:dyDescent="0.25">
      <c r="A20" s="100" t="s">
        <v>21</v>
      </c>
      <c r="B20" s="63" t="str">
        <f>IF(LEN(C25)=0,"",C25)</f>
        <v>Réalisation - Ajout des groupes</v>
      </c>
      <c r="C20" s="220"/>
      <c r="D20" s="147" t="str">
        <f t="shared" si="0"/>
        <v>8h15min</v>
      </c>
      <c r="E20" s="27">
        <v>99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188"/>
      <c r="Y20" s="188"/>
      <c r="Z20" s="188"/>
      <c r="AA20" s="188"/>
      <c r="AB20" s="188"/>
      <c r="AC20" s="190"/>
      <c r="AD20" s="188"/>
      <c r="AE20" s="188"/>
      <c r="AF20" s="188"/>
      <c r="AG20" s="188"/>
      <c r="AH20" s="188"/>
      <c r="AI20" s="194"/>
      <c r="AJ20" s="187"/>
      <c r="AK20" s="187"/>
      <c r="AL20" s="187"/>
      <c r="AM20" s="187"/>
      <c r="AN20" s="188"/>
      <c r="AO20" s="190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186"/>
      <c r="BO20" s="187"/>
      <c r="BP20" s="187"/>
      <c r="BQ20" s="187"/>
      <c r="BR20" s="188"/>
      <c r="BS20" s="189"/>
      <c r="BT20" s="188"/>
      <c r="BU20" s="188"/>
      <c r="BV20" s="188"/>
      <c r="BW20" s="188"/>
      <c r="BX20" s="188"/>
      <c r="BY20" s="190"/>
      <c r="BZ20" s="188"/>
      <c r="CA20" s="188"/>
      <c r="CB20" s="188"/>
      <c r="CC20" s="188"/>
      <c r="CD20" s="188"/>
      <c r="CE20" s="194"/>
      <c r="CF20" s="188"/>
      <c r="CG20" s="188"/>
      <c r="CH20" s="188"/>
      <c r="CI20" s="188"/>
      <c r="CJ20" s="188"/>
      <c r="CK20" s="190"/>
      <c r="CL20" s="188"/>
      <c r="CM20" s="188"/>
      <c r="CN20" s="188"/>
      <c r="CO20" s="188"/>
      <c r="CP20" s="188"/>
      <c r="CQ20" s="194"/>
      <c r="CR20" s="187"/>
      <c r="CS20" s="187"/>
      <c r="CT20" s="187"/>
      <c r="CU20" s="187"/>
      <c r="CV20" s="188"/>
      <c r="CW20" s="190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188"/>
      <c r="GW20" s="188"/>
      <c r="GX20" s="188"/>
      <c r="GY20" s="188"/>
      <c r="GZ20" s="188"/>
      <c r="HA20" s="190"/>
      <c r="HB20" s="188"/>
      <c r="HC20" s="188"/>
      <c r="HD20" s="188"/>
      <c r="HE20" s="188"/>
      <c r="HF20" s="188"/>
      <c r="HG20" s="194"/>
      <c r="HH20" s="187"/>
      <c r="HI20" s="187"/>
      <c r="HJ20" s="187"/>
      <c r="HK20" s="187"/>
      <c r="HL20" s="188"/>
      <c r="HM20" s="190"/>
      <c r="HN20" s="188"/>
      <c r="HO20" s="188"/>
      <c r="HP20" s="188"/>
      <c r="HQ20" s="188"/>
      <c r="HR20" s="192"/>
      <c r="HS20" s="194"/>
      <c r="HT20" s="188"/>
      <c r="HU20" s="188"/>
      <c r="HV20" s="188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186"/>
      <c r="IM20" s="187"/>
      <c r="IN20" s="187"/>
      <c r="IO20" s="187"/>
      <c r="IP20" s="188"/>
      <c r="IQ20" s="189"/>
      <c r="IR20" s="188"/>
      <c r="IS20" s="188"/>
      <c r="IT20" s="188"/>
      <c r="IU20" s="188"/>
      <c r="IV20" s="188"/>
      <c r="IW20" s="190"/>
      <c r="IX20" s="188"/>
      <c r="IY20" s="188"/>
      <c r="IZ20" s="188"/>
      <c r="JA20" s="188"/>
      <c r="JB20" s="188"/>
      <c r="JC20" s="194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28"/>
      <c r="RS20" s="67"/>
      <c r="RT20" s="67"/>
      <c r="RU20" s="67"/>
      <c r="RV20" s="29"/>
      <c r="RW20" s="131"/>
      <c r="RX20" s="29"/>
      <c r="RY20" s="29"/>
      <c r="RZ20" s="29"/>
      <c r="SA20" s="29"/>
      <c r="SB20" s="29"/>
      <c r="SC20" s="136"/>
      <c r="SD20" s="29"/>
      <c r="SE20" s="29"/>
      <c r="SF20" s="29"/>
      <c r="SG20" s="29"/>
      <c r="SH20" s="29"/>
      <c r="SI20" s="75"/>
      <c r="SJ20" s="29"/>
      <c r="SK20" s="29"/>
      <c r="SL20" s="29"/>
      <c r="SM20" s="29"/>
      <c r="SN20" s="29"/>
      <c r="SO20" s="136"/>
      <c r="SP20" s="29"/>
      <c r="SQ20" s="29"/>
      <c r="SR20" s="29"/>
      <c r="SS20" s="29"/>
      <c r="ST20" s="29"/>
      <c r="SU20" s="75"/>
      <c r="SV20" s="67"/>
      <c r="SW20" s="67"/>
      <c r="SX20" s="67"/>
      <c r="SY20" s="67"/>
      <c r="SZ20" s="29"/>
      <c r="TA20" s="136"/>
      <c r="TB20" s="29"/>
      <c r="TC20" s="29"/>
      <c r="TD20" s="29"/>
      <c r="TE20" s="29"/>
      <c r="TF20" s="37"/>
      <c r="TG20" s="75"/>
      <c r="TH20" s="29"/>
      <c r="TI20" s="29"/>
      <c r="TJ20" s="29"/>
      <c r="TK20" s="29"/>
      <c r="TL20" s="29"/>
      <c r="TM20" s="136"/>
      <c r="TN20" s="29"/>
      <c r="TO20" s="29"/>
      <c r="TP20" s="29"/>
      <c r="TQ20" s="29"/>
      <c r="TR20" s="29"/>
      <c r="TS20" s="75"/>
      <c r="TT20" s="29"/>
      <c r="TU20" s="29"/>
      <c r="TV20" s="29"/>
      <c r="TW20" s="29"/>
      <c r="TX20" s="29"/>
      <c r="TY20" s="30"/>
      <c r="TZ20" s="28"/>
      <c r="UA20" s="67"/>
      <c r="UB20" s="67"/>
      <c r="UC20" s="67"/>
      <c r="UD20" s="29"/>
      <c r="UE20" s="131"/>
      <c r="UF20" s="29"/>
      <c r="UG20" s="29"/>
      <c r="UH20" s="29"/>
      <c r="UI20" s="29"/>
      <c r="UJ20" s="29"/>
      <c r="UK20" s="136"/>
      <c r="UL20" s="29"/>
      <c r="UM20" s="29"/>
      <c r="UN20" s="29"/>
      <c r="UO20" s="29"/>
      <c r="UP20" s="29"/>
      <c r="UQ20" s="75"/>
      <c r="UR20" s="29"/>
      <c r="US20" s="29"/>
      <c r="UT20" s="29"/>
      <c r="UU20" s="29"/>
      <c r="UV20" s="29"/>
      <c r="UW20" s="136"/>
      <c r="UX20" s="29"/>
      <c r="UY20" s="29"/>
      <c r="UZ20" s="29"/>
      <c r="VA20" s="29"/>
      <c r="VB20" s="29"/>
      <c r="VC20" s="75"/>
      <c r="VD20" s="67"/>
      <c r="VE20" s="67"/>
      <c r="VF20" s="67"/>
      <c r="VG20" s="67"/>
      <c r="VH20" s="29"/>
      <c r="VI20" s="136"/>
      <c r="VJ20" s="29"/>
      <c r="VK20" s="29"/>
      <c r="VL20" s="29"/>
      <c r="VM20" s="29"/>
      <c r="VN20" s="37"/>
      <c r="VO20" s="75"/>
      <c r="VP20" s="29"/>
      <c r="VQ20" s="29"/>
      <c r="VR20" s="29"/>
      <c r="VS20" s="29"/>
      <c r="VT20" s="29"/>
      <c r="VU20" s="136"/>
      <c r="VV20" s="29"/>
      <c r="VW20" s="29"/>
      <c r="VX20" s="29"/>
      <c r="VY20" s="29"/>
      <c r="VZ20" s="29"/>
      <c r="WA20" s="75"/>
      <c r="WB20" s="29"/>
      <c r="WC20" s="29"/>
      <c r="WD20" s="29"/>
      <c r="WE20" s="29"/>
      <c r="WF20" s="29"/>
      <c r="WG20" s="30"/>
      <c r="WH20" s="28"/>
      <c r="WI20" s="67"/>
      <c r="WJ20" s="67"/>
      <c r="WK20" s="67"/>
      <c r="WL20" s="29"/>
      <c r="WM20" s="131"/>
      <c r="WN20" s="29"/>
      <c r="WO20" s="29"/>
      <c r="WP20" s="29"/>
      <c r="WQ20" s="29"/>
      <c r="WR20" s="29"/>
      <c r="WS20" s="136"/>
      <c r="WT20" s="29"/>
      <c r="WU20" s="29"/>
      <c r="WV20" s="29"/>
      <c r="WW20" s="29"/>
      <c r="WX20" s="29"/>
      <c r="WY20" s="75"/>
      <c r="WZ20" s="29"/>
      <c r="XA20" s="29"/>
      <c r="XB20" s="29"/>
      <c r="XC20" s="29"/>
      <c r="XD20" s="29"/>
      <c r="XE20" s="136"/>
      <c r="XF20" s="29"/>
      <c r="XG20" s="29"/>
      <c r="XH20" s="29"/>
      <c r="XI20" s="29"/>
      <c r="XJ20" s="29"/>
      <c r="XK20" s="75"/>
      <c r="XL20" s="67"/>
      <c r="XM20" s="67"/>
      <c r="XN20" s="67"/>
      <c r="XO20" s="67"/>
      <c r="XP20" s="29"/>
      <c r="XQ20" s="136"/>
      <c r="XR20" s="29"/>
      <c r="XS20" s="29"/>
      <c r="XT20" s="29"/>
      <c r="XU20" s="29"/>
      <c r="XV20" s="37"/>
      <c r="XW20" s="75"/>
      <c r="XX20" s="29"/>
      <c r="XY20" s="29"/>
      <c r="XZ20" s="29"/>
      <c r="YA20" s="29"/>
      <c r="YB20" s="29"/>
      <c r="YC20" s="136"/>
      <c r="YD20" s="29"/>
      <c r="YE20" s="29"/>
      <c r="YF20" s="29"/>
      <c r="YG20" s="29"/>
      <c r="YH20" s="29"/>
      <c r="YI20" s="75"/>
      <c r="YJ20" s="29"/>
      <c r="YK20" s="29"/>
      <c r="YL20" s="29"/>
      <c r="YM20" s="29"/>
      <c r="YN20" s="29"/>
      <c r="YO20" s="30"/>
      <c r="YP20" s="28"/>
      <c r="YQ20" s="67"/>
      <c r="YR20" s="67"/>
      <c r="YS20" s="67"/>
      <c r="YT20" s="29"/>
      <c r="YU20" s="131"/>
      <c r="YV20" s="29"/>
      <c r="YW20" s="29"/>
      <c r="YX20" s="29"/>
      <c r="YY20" s="29"/>
      <c r="YZ20" s="29"/>
      <c r="ZA20" s="136"/>
      <c r="ZB20" s="29"/>
      <c r="ZC20" s="29"/>
      <c r="ZD20" s="29"/>
      <c r="ZE20" s="29"/>
      <c r="ZF20" s="29"/>
      <c r="ZG20" s="75"/>
      <c r="ZH20" s="29"/>
      <c r="ZI20" s="29"/>
      <c r="ZJ20" s="29"/>
      <c r="ZK20" s="29"/>
      <c r="ZL20" s="29"/>
      <c r="ZM20" s="136"/>
      <c r="ZN20" s="29"/>
      <c r="ZO20" s="29"/>
      <c r="ZP20" s="29"/>
      <c r="ZQ20" s="29"/>
      <c r="ZR20" s="29"/>
      <c r="ZS20" s="75"/>
      <c r="ZT20" s="67"/>
      <c r="ZU20" s="67"/>
      <c r="ZV20" s="67"/>
      <c r="ZW20" s="67"/>
      <c r="ZX20" s="29"/>
      <c r="ZY20" s="136"/>
      <c r="ZZ20" s="29"/>
      <c r="AAA20" s="29"/>
      <c r="AAB20" s="29"/>
      <c r="AAC20" s="29"/>
      <c r="AAD20" s="37"/>
      <c r="AAE20" s="75"/>
      <c r="AAF20" s="29"/>
      <c r="AAG20" s="29"/>
      <c r="AAH20" s="29"/>
      <c r="AAI20" s="29"/>
      <c r="AAJ20" s="29"/>
      <c r="AAK20" s="136"/>
      <c r="AAL20" s="29"/>
      <c r="AAM20" s="29"/>
      <c r="AAN20" s="29"/>
      <c r="AAO20" s="29"/>
      <c r="AAP20" s="29"/>
      <c r="AAQ20" s="75"/>
      <c r="AAR20" s="29"/>
      <c r="AAS20" s="29"/>
      <c r="AAT20" s="29"/>
      <c r="AAU20" s="29"/>
      <c r="AAV20" s="29"/>
      <c r="AAW20" s="30"/>
      <c r="AAX20" s="28"/>
      <c r="AAY20" s="67"/>
      <c r="AAZ20" s="67"/>
      <c r="ABA20" s="67"/>
      <c r="ABB20" s="29"/>
      <c r="ABC20" s="131"/>
      <c r="ABD20" s="29"/>
      <c r="ABE20" s="29"/>
      <c r="ABF20" s="29"/>
      <c r="ABG20" s="29"/>
      <c r="ABH20" s="29"/>
      <c r="ABI20" s="136"/>
      <c r="ABJ20" s="29"/>
      <c r="ABK20" s="29"/>
      <c r="ABL20" s="29"/>
      <c r="ABM20" s="29"/>
      <c r="ABN20" s="29"/>
      <c r="ABO20" s="75"/>
      <c r="ABP20" s="29"/>
      <c r="ABQ20" s="29"/>
      <c r="ABR20" s="29"/>
      <c r="ABS20" s="29"/>
      <c r="ABT20" s="29"/>
      <c r="ABU20" s="136"/>
      <c r="ABV20" s="29"/>
      <c r="ABW20" s="29"/>
      <c r="ABX20" s="29"/>
      <c r="ABY20" s="29"/>
      <c r="ABZ20" s="29"/>
      <c r="ACA20" s="75"/>
      <c r="ACB20" s="67"/>
      <c r="ACC20" s="67"/>
      <c r="ACD20" s="67"/>
      <c r="ACE20" s="67"/>
      <c r="ACF20" s="29"/>
      <c r="ACG20" s="136"/>
      <c r="ACH20" s="29"/>
      <c r="ACI20" s="29"/>
      <c r="ACJ20" s="29"/>
      <c r="ACK20" s="29"/>
      <c r="ACL20" s="37"/>
      <c r="ACM20" s="75"/>
      <c r="ACN20" s="29"/>
      <c r="ACO20" s="29"/>
      <c r="ACP20" s="29"/>
      <c r="ACQ20" s="29"/>
      <c r="ACR20" s="29"/>
      <c r="ACS20" s="136"/>
      <c r="ACT20" s="29"/>
      <c r="ACU20" s="29"/>
      <c r="ACV20" s="29"/>
      <c r="ACW20" s="29"/>
      <c r="ACX20" s="29"/>
      <c r="ACY20" s="75"/>
      <c r="ACZ20" s="29"/>
      <c r="ADA20" s="29"/>
      <c r="ADB20" s="29"/>
      <c r="ADC20" s="29"/>
      <c r="ADD20" s="29"/>
      <c r="ADE20" s="30"/>
      <c r="ADF20" s="28"/>
      <c r="ADG20" s="67"/>
      <c r="ADH20" s="67"/>
      <c r="ADI20" s="67"/>
      <c r="ADJ20" s="29"/>
      <c r="ADK20" s="131"/>
      <c r="ADL20" s="29"/>
      <c r="ADM20" s="29"/>
      <c r="ADN20" s="29"/>
      <c r="ADO20" s="29"/>
      <c r="ADP20" s="29"/>
      <c r="ADQ20" s="136"/>
      <c r="ADR20" s="29"/>
      <c r="ADS20" s="29"/>
      <c r="ADT20" s="29"/>
      <c r="ADU20" s="29"/>
      <c r="ADV20" s="29"/>
      <c r="ADW20" s="75"/>
      <c r="ADX20" s="29"/>
      <c r="ADY20" s="29"/>
      <c r="ADZ20" s="29"/>
      <c r="AEA20" s="29"/>
      <c r="AEB20" s="29"/>
      <c r="AEC20" s="136"/>
      <c r="AED20" s="29"/>
      <c r="AEE20" s="29"/>
      <c r="AEF20" s="29"/>
      <c r="AEG20" s="29"/>
      <c r="AEH20" s="29"/>
      <c r="AEI20" s="75"/>
      <c r="AEJ20" s="67"/>
      <c r="AEK20" s="67"/>
      <c r="AEL20" s="67"/>
      <c r="AEM20" s="67"/>
      <c r="AEN20" s="29"/>
      <c r="AEO20" s="136"/>
      <c r="AEP20" s="29"/>
      <c r="AEQ20" s="29"/>
      <c r="AER20" s="29"/>
      <c r="AES20" s="29"/>
      <c r="AET20" s="37"/>
      <c r="AEU20" s="75"/>
      <c r="AEV20" s="29"/>
      <c r="AEW20" s="29"/>
      <c r="AEX20" s="29"/>
      <c r="AEY20" s="29"/>
      <c r="AEZ20" s="29"/>
      <c r="AFA20" s="136"/>
      <c r="AFB20" s="29"/>
      <c r="AFC20" s="29"/>
      <c r="AFD20" s="29"/>
      <c r="AFE20" s="29"/>
      <c r="AFF20" s="29"/>
      <c r="AFG20" s="75"/>
      <c r="AFH20" s="29"/>
      <c r="AFI20" s="29"/>
      <c r="AFJ20" s="29"/>
      <c r="AFK20" s="29"/>
      <c r="AFL20" s="29"/>
      <c r="AFM20" s="30"/>
      <c r="AFN20" s="90"/>
    </row>
    <row r="21" spans="1:846" ht="20.100000000000001" customHeight="1" x14ac:dyDescent="0.25">
      <c r="A21" s="100" t="s">
        <v>20</v>
      </c>
      <c r="B21" s="63" t="str">
        <f>IF(LEN(C27)=0,"",C27)</f>
        <v>Réalisation - Suppression des tâches</v>
      </c>
      <c r="C21" s="218" t="s">
        <v>46</v>
      </c>
      <c r="D21" s="146" t="str">
        <f t="shared" si="0"/>
        <v>3h15min</v>
      </c>
      <c r="E21" s="31">
        <v>39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168"/>
      <c r="BO21" s="169"/>
      <c r="BP21" s="169"/>
      <c r="BQ21" s="169"/>
      <c r="BR21" s="170"/>
      <c r="BS21" s="171"/>
      <c r="BT21" s="170"/>
      <c r="BU21" s="170"/>
      <c r="BV21" s="170"/>
      <c r="BW21" s="170"/>
      <c r="BX21" s="170"/>
      <c r="BY21" s="172"/>
      <c r="BZ21" s="170"/>
      <c r="CA21" s="170"/>
      <c r="CB21" s="170"/>
      <c r="CC21" s="170"/>
      <c r="CD21" s="170"/>
      <c r="CE21" s="173"/>
      <c r="CF21" s="170"/>
      <c r="CG21" s="170"/>
      <c r="CH21" s="170"/>
      <c r="CI21" s="170"/>
      <c r="CJ21" s="170"/>
      <c r="CK21" s="172"/>
      <c r="CL21" s="170"/>
      <c r="CM21" s="170"/>
      <c r="CN21" s="170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168"/>
      <c r="GE21" s="169"/>
      <c r="GF21" s="169"/>
      <c r="GG21" s="169"/>
      <c r="GH21" s="170"/>
      <c r="GI21" s="171"/>
      <c r="GJ21" s="170"/>
      <c r="GK21" s="170"/>
      <c r="GL21" s="170"/>
      <c r="GM21" s="170"/>
      <c r="GN21" s="170"/>
      <c r="GO21" s="172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32"/>
      <c r="RS21" s="64"/>
      <c r="RT21" s="64"/>
      <c r="RU21" s="64"/>
      <c r="RV21" s="33"/>
      <c r="RW21" s="132"/>
      <c r="RX21" s="33"/>
      <c r="RY21" s="33"/>
      <c r="RZ21" s="33"/>
      <c r="SA21" s="33"/>
      <c r="SB21" s="33"/>
      <c r="SC21" s="137"/>
      <c r="SD21" s="33"/>
      <c r="SE21" s="33"/>
      <c r="SF21" s="33"/>
      <c r="SG21" s="33"/>
      <c r="SH21" s="33"/>
      <c r="SI21" s="74"/>
      <c r="SJ21" s="33"/>
      <c r="SK21" s="33"/>
      <c r="SL21" s="33"/>
      <c r="SM21" s="33"/>
      <c r="SN21" s="33"/>
      <c r="SO21" s="137"/>
      <c r="SP21" s="33"/>
      <c r="SQ21" s="33"/>
      <c r="SR21" s="33"/>
      <c r="SS21" s="33"/>
      <c r="ST21" s="33"/>
      <c r="SU21" s="74"/>
      <c r="SV21" s="64"/>
      <c r="SW21" s="64"/>
      <c r="SX21" s="64"/>
      <c r="SY21" s="64"/>
      <c r="SZ21" s="33"/>
      <c r="TA21" s="137"/>
      <c r="TB21" s="33"/>
      <c r="TC21" s="33"/>
      <c r="TD21" s="33"/>
      <c r="TE21" s="33"/>
      <c r="TF21" s="33"/>
      <c r="TG21" s="74"/>
      <c r="TH21" s="33"/>
      <c r="TI21" s="33"/>
      <c r="TJ21" s="33"/>
      <c r="TK21" s="33"/>
      <c r="TL21" s="33"/>
      <c r="TM21" s="137"/>
      <c r="TN21" s="33"/>
      <c r="TO21" s="33"/>
      <c r="TP21" s="33"/>
      <c r="TQ21" s="33"/>
      <c r="TR21" s="33"/>
      <c r="TS21" s="74"/>
      <c r="TT21" s="33"/>
      <c r="TU21" s="33"/>
      <c r="TV21" s="33"/>
      <c r="TW21" s="33"/>
      <c r="TX21" s="33"/>
      <c r="TY21" s="34"/>
      <c r="TZ21" s="32"/>
      <c r="UA21" s="64"/>
      <c r="UB21" s="64"/>
      <c r="UC21" s="64"/>
      <c r="UD21" s="33"/>
      <c r="UE21" s="132"/>
      <c r="UF21" s="33"/>
      <c r="UG21" s="33"/>
      <c r="UH21" s="33"/>
      <c r="UI21" s="33"/>
      <c r="UJ21" s="33"/>
      <c r="UK21" s="137"/>
      <c r="UL21" s="33"/>
      <c r="UM21" s="33"/>
      <c r="UN21" s="33"/>
      <c r="UO21" s="33"/>
      <c r="UP21" s="33"/>
      <c r="UQ21" s="74"/>
      <c r="UR21" s="33"/>
      <c r="US21" s="33"/>
      <c r="UT21" s="33"/>
      <c r="UU21" s="33"/>
      <c r="UV21" s="33"/>
      <c r="UW21" s="137"/>
      <c r="UX21" s="33"/>
      <c r="UY21" s="33"/>
      <c r="UZ21" s="33"/>
      <c r="VA21" s="33"/>
      <c r="VB21" s="33"/>
      <c r="VC21" s="74"/>
      <c r="VD21" s="64"/>
      <c r="VE21" s="64"/>
      <c r="VF21" s="64"/>
      <c r="VG21" s="64"/>
      <c r="VH21" s="33"/>
      <c r="VI21" s="137"/>
      <c r="VJ21" s="33"/>
      <c r="VK21" s="33"/>
      <c r="VL21" s="33"/>
      <c r="VM21" s="33"/>
      <c r="VN21" s="33"/>
      <c r="VO21" s="74"/>
      <c r="VP21" s="33"/>
      <c r="VQ21" s="33"/>
      <c r="VR21" s="33"/>
      <c r="VS21" s="33"/>
      <c r="VT21" s="33"/>
      <c r="VU21" s="137"/>
      <c r="VV21" s="33"/>
      <c r="VW21" s="33"/>
      <c r="VX21" s="33"/>
      <c r="VY21" s="33"/>
      <c r="VZ21" s="33"/>
      <c r="WA21" s="74"/>
      <c r="WB21" s="33"/>
      <c r="WC21" s="33"/>
      <c r="WD21" s="33"/>
      <c r="WE21" s="33"/>
      <c r="WF21" s="33"/>
      <c r="WG21" s="34"/>
      <c r="WH21" s="32"/>
      <c r="WI21" s="64"/>
      <c r="WJ21" s="64"/>
      <c r="WK21" s="64"/>
      <c r="WL21" s="33"/>
      <c r="WM21" s="132"/>
      <c r="WN21" s="33"/>
      <c r="WO21" s="33"/>
      <c r="WP21" s="33"/>
      <c r="WQ21" s="33"/>
      <c r="WR21" s="33"/>
      <c r="WS21" s="137"/>
      <c r="WT21" s="33"/>
      <c r="WU21" s="33"/>
      <c r="WV21" s="33"/>
      <c r="WW21" s="33"/>
      <c r="WX21" s="33"/>
      <c r="WY21" s="74"/>
      <c r="WZ21" s="33"/>
      <c r="XA21" s="33"/>
      <c r="XB21" s="33"/>
      <c r="XC21" s="33"/>
      <c r="XD21" s="33"/>
      <c r="XE21" s="137"/>
      <c r="XF21" s="33"/>
      <c r="XG21" s="33"/>
      <c r="XH21" s="33"/>
      <c r="XI21" s="33"/>
      <c r="XJ21" s="33"/>
      <c r="XK21" s="74"/>
      <c r="XL21" s="64"/>
      <c r="XM21" s="64"/>
      <c r="XN21" s="64"/>
      <c r="XO21" s="64"/>
      <c r="XP21" s="33"/>
      <c r="XQ21" s="137"/>
      <c r="XR21" s="33"/>
      <c r="XS21" s="33"/>
      <c r="XT21" s="33"/>
      <c r="XU21" s="33"/>
      <c r="XV21" s="33"/>
      <c r="XW21" s="74"/>
      <c r="XX21" s="33"/>
      <c r="XY21" s="33"/>
      <c r="XZ21" s="33"/>
      <c r="YA21" s="33"/>
      <c r="YB21" s="33"/>
      <c r="YC21" s="137"/>
      <c r="YD21" s="33"/>
      <c r="YE21" s="33"/>
      <c r="YF21" s="33"/>
      <c r="YG21" s="33"/>
      <c r="YH21" s="33"/>
      <c r="YI21" s="74"/>
      <c r="YJ21" s="33"/>
      <c r="YK21" s="33"/>
      <c r="YL21" s="33"/>
      <c r="YM21" s="33"/>
      <c r="YN21" s="33"/>
      <c r="YO21" s="34"/>
      <c r="YP21" s="32"/>
      <c r="YQ21" s="64"/>
      <c r="YR21" s="64"/>
      <c r="YS21" s="64"/>
      <c r="YT21" s="33"/>
      <c r="YU21" s="132"/>
      <c r="YV21" s="33"/>
      <c r="YW21" s="33"/>
      <c r="YX21" s="33"/>
      <c r="YY21" s="33"/>
      <c r="YZ21" s="33"/>
      <c r="ZA21" s="137"/>
      <c r="ZB21" s="33"/>
      <c r="ZC21" s="33"/>
      <c r="ZD21" s="33"/>
      <c r="ZE21" s="33"/>
      <c r="ZF21" s="33"/>
      <c r="ZG21" s="74"/>
      <c r="ZH21" s="33"/>
      <c r="ZI21" s="33"/>
      <c r="ZJ21" s="33"/>
      <c r="ZK21" s="33"/>
      <c r="ZL21" s="33"/>
      <c r="ZM21" s="137"/>
      <c r="ZN21" s="33"/>
      <c r="ZO21" s="33"/>
      <c r="ZP21" s="33"/>
      <c r="ZQ21" s="33"/>
      <c r="ZR21" s="33"/>
      <c r="ZS21" s="74"/>
      <c r="ZT21" s="64"/>
      <c r="ZU21" s="64"/>
      <c r="ZV21" s="64"/>
      <c r="ZW21" s="64"/>
      <c r="ZX21" s="33"/>
      <c r="ZY21" s="137"/>
      <c r="ZZ21" s="33"/>
      <c r="AAA21" s="33"/>
      <c r="AAB21" s="33"/>
      <c r="AAC21" s="33"/>
      <c r="AAD21" s="33"/>
      <c r="AAE21" s="74"/>
      <c r="AAF21" s="33"/>
      <c r="AAG21" s="33"/>
      <c r="AAH21" s="33"/>
      <c r="AAI21" s="33"/>
      <c r="AAJ21" s="33"/>
      <c r="AAK21" s="137"/>
      <c r="AAL21" s="33"/>
      <c r="AAM21" s="33"/>
      <c r="AAN21" s="33"/>
      <c r="AAO21" s="33"/>
      <c r="AAP21" s="33"/>
      <c r="AAQ21" s="74"/>
      <c r="AAR21" s="33"/>
      <c r="AAS21" s="33"/>
      <c r="AAT21" s="33"/>
      <c r="AAU21" s="33"/>
      <c r="AAV21" s="33"/>
      <c r="AAW21" s="34"/>
      <c r="AAX21" s="32"/>
      <c r="AAY21" s="64"/>
      <c r="AAZ21" s="64"/>
      <c r="ABA21" s="64"/>
      <c r="ABB21" s="33"/>
      <c r="ABC21" s="132"/>
      <c r="ABD21" s="33"/>
      <c r="ABE21" s="33"/>
      <c r="ABF21" s="33"/>
      <c r="ABG21" s="33"/>
      <c r="ABH21" s="33"/>
      <c r="ABI21" s="137"/>
      <c r="ABJ21" s="33"/>
      <c r="ABK21" s="33"/>
      <c r="ABL21" s="33"/>
      <c r="ABM21" s="33"/>
      <c r="ABN21" s="33"/>
      <c r="ABO21" s="74"/>
      <c r="ABP21" s="33"/>
      <c r="ABQ21" s="33"/>
      <c r="ABR21" s="33"/>
      <c r="ABS21" s="33"/>
      <c r="ABT21" s="33"/>
      <c r="ABU21" s="137"/>
      <c r="ABV21" s="33"/>
      <c r="ABW21" s="33"/>
      <c r="ABX21" s="33"/>
      <c r="ABY21" s="33"/>
      <c r="ABZ21" s="33"/>
      <c r="ACA21" s="74"/>
      <c r="ACB21" s="64"/>
      <c r="ACC21" s="64"/>
      <c r="ACD21" s="64"/>
      <c r="ACE21" s="64"/>
      <c r="ACF21" s="33"/>
      <c r="ACG21" s="137"/>
      <c r="ACH21" s="33"/>
      <c r="ACI21" s="33"/>
      <c r="ACJ21" s="33"/>
      <c r="ACK21" s="33"/>
      <c r="ACL21" s="33"/>
      <c r="ACM21" s="74"/>
      <c r="ACN21" s="33"/>
      <c r="ACO21" s="33"/>
      <c r="ACP21" s="33"/>
      <c r="ACQ21" s="33"/>
      <c r="ACR21" s="33"/>
      <c r="ACS21" s="137"/>
      <c r="ACT21" s="33"/>
      <c r="ACU21" s="33"/>
      <c r="ACV21" s="33"/>
      <c r="ACW21" s="33"/>
      <c r="ACX21" s="33"/>
      <c r="ACY21" s="74"/>
      <c r="ACZ21" s="33"/>
      <c r="ADA21" s="33"/>
      <c r="ADB21" s="33"/>
      <c r="ADC21" s="33"/>
      <c r="ADD21" s="33"/>
      <c r="ADE21" s="34"/>
      <c r="ADF21" s="32"/>
      <c r="ADG21" s="64"/>
      <c r="ADH21" s="64"/>
      <c r="ADI21" s="64"/>
      <c r="ADJ21" s="33"/>
      <c r="ADK21" s="132"/>
      <c r="ADL21" s="33"/>
      <c r="ADM21" s="33"/>
      <c r="ADN21" s="33"/>
      <c r="ADO21" s="33"/>
      <c r="ADP21" s="33"/>
      <c r="ADQ21" s="137"/>
      <c r="ADR21" s="33"/>
      <c r="ADS21" s="33"/>
      <c r="ADT21" s="33"/>
      <c r="ADU21" s="33"/>
      <c r="ADV21" s="33"/>
      <c r="ADW21" s="74"/>
      <c r="ADX21" s="33"/>
      <c r="ADY21" s="33"/>
      <c r="ADZ21" s="33"/>
      <c r="AEA21" s="33"/>
      <c r="AEB21" s="33"/>
      <c r="AEC21" s="137"/>
      <c r="AED21" s="33"/>
      <c r="AEE21" s="33"/>
      <c r="AEF21" s="33"/>
      <c r="AEG21" s="33"/>
      <c r="AEH21" s="33"/>
      <c r="AEI21" s="74"/>
      <c r="AEJ21" s="64"/>
      <c r="AEK21" s="64"/>
      <c r="AEL21" s="64"/>
      <c r="AEM21" s="64"/>
      <c r="AEN21" s="33"/>
      <c r="AEO21" s="137"/>
      <c r="AEP21" s="33"/>
      <c r="AEQ21" s="33"/>
      <c r="AER21" s="33"/>
      <c r="AES21" s="33"/>
      <c r="AET21" s="33"/>
      <c r="AEU21" s="74"/>
      <c r="AEV21" s="33"/>
      <c r="AEW21" s="33"/>
      <c r="AEX21" s="33"/>
      <c r="AEY21" s="33"/>
      <c r="AEZ21" s="33"/>
      <c r="AFA21" s="137"/>
      <c r="AFB21" s="33"/>
      <c r="AFC21" s="33"/>
      <c r="AFD21" s="33"/>
      <c r="AFE21" s="33"/>
      <c r="AFF21" s="33"/>
      <c r="AFG21" s="74"/>
      <c r="AFH21" s="33"/>
      <c r="AFI21" s="33"/>
      <c r="AFJ21" s="33"/>
      <c r="AFK21" s="33"/>
      <c r="AFL21" s="33"/>
      <c r="AFM21" s="34"/>
      <c r="AFN21" s="90"/>
    </row>
    <row r="22" spans="1:846" ht="20.100000000000001" customHeight="1" x14ac:dyDescent="0.25">
      <c r="A22" s="100" t="s">
        <v>21</v>
      </c>
      <c r="B22" s="63" t="str">
        <f>IF(LEN(C29)=0,"",C29)</f>
        <v>Réalisation - Suppression des groupes</v>
      </c>
      <c r="C22" s="220"/>
      <c r="D22" s="147" t="str">
        <f t="shared" si="0"/>
        <v>1h30min</v>
      </c>
      <c r="E22" s="35">
        <v>18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196"/>
      <c r="GE22" s="195"/>
      <c r="GF22" s="195"/>
      <c r="GG22" s="195"/>
      <c r="GH22" s="192"/>
      <c r="GI22" s="197"/>
      <c r="GJ22" s="192"/>
      <c r="GK22" s="192"/>
      <c r="GL22" s="192"/>
      <c r="GM22" s="192"/>
      <c r="GN22" s="192"/>
      <c r="GO22" s="193"/>
      <c r="GP22" s="192"/>
      <c r="GQ22" s="192"/>
      <c r="GR22" s="192"/>
      <c r="GS22" s="192"/>
      <c r="GT22" s="192"/>
      <c r="GU22" s="194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36"/>
      <c r="RS22" s="65"/>
      <c r="RT22" s="65"/>
      <c r="RU22" s="65"/>
      <c r="RV22" s="37"/>
      <c r="RW22" s="133"/>
      <c r="RX22" s="37"/>
      <c r="RY22" s="37"/>
      <c r="RZ22" s="37"/>
      <c r="SA22" s="37"/>
      <c r="SB22" s="37"/>
      <c r="SC22" s="138"/>
      <c r="SD22" s="37"/>
      <c r="SE22" s="37"/>
      <c r="SF22" s="37"/>
      <c r="SG22" s="37"/>
      <c r="SH22" s="37"/>
      <c r="SI22" s="75"/>
      <c r="SJ22" s="37"/>
      <c r="SK22" s="37"/>
      <c r="SL22" s="37"/>
      <c r="SM22" s="37"/>
      <c r="SN22" s="37"/>
      <c r="SO22" s="138"/>
      <c r="SP22" s="37"/>
      <c r="SQ22" s="37"/>
      <c r="SR22" s="37"/>
      <c r="SS22" s="37"/>
      <c r="ST22" s="37"/>
      <c r="SU22" s="75"/>
      <c r="SV22" s="65"/>
      <c r="SW22" s="65"/>
      <c r="SX22" s="65"/>
      <c r="SY22" s="65"/>
      <c r="SZ22" s="37"/>
      <c r="TA22" s="138"/>
      <c r="TB22" s="37"/>
      <c r="TC22" s="37"/>
      <c r="TD22" s="37"/>
      <c r="TE22" s="37"/>
      <c r="TF22" s="37"/>
      <c r="TG22" s="75"/>
      <c r="TH22" s="37"/>
      <c r="TI22" s="37"/>
      <c r="TJ22" s="37"/>
      <c r="TK22" s="37"/>
      <c r="TL22" s="37"/>
      <c r="TM22" s="138"/>
      <c r="TN22" s="37"/>
      <c r="TO22" s="37"/>
      <c r="TP22" s="37"/>
      <c r="TQ22" s="37"/>
      <c r="TR22" s="37"/>
      <c r="TS22" s="75"/>
      <c r="TT22" s="37"/>
      <c r="TU22" s="37"/>
      <c r="TV22" s="37"/>
      <c r="TW22" s="37"/>
      <c r="TX22" s="37"/>
      <c r="TY22" s="38"/>
      <c r="TZ22" s="36"/>
      <c r="UA22" s="65"/>
      <c r="UB22" s="65"/>
      <c r="UC22" s="65"/>
      <c r="UD22" s="37"/>
      <c r="UE22" s="133"/>
      <c r="UF22" s="37"/>
      <c r="UG22" s="37"/>
      <c r="UH22" s="37"/>
      <c r="UI22" s="37"/>
      <c r="UJ22" s="37"/>
      <c r="UK22" s="138"/>
      <c r="UL22" s="37"/>
      <c r="UM22" s="37"/>
      <c r="UN22" s="37"/>
      <c r="UO22" s="37"/>
      <c r="UP22" s="37"/>
      <c r="UQ22" s="75"/>
      <c r="UR22" s="37"/>
      <c r="US22" s="37"/>
      <c r="UT22" s="37"/>
      <c r="UU22" s="37"/>
      <c r="UV22" s="37"/>
      <c r="UW22" s="138"/>
      <c r="UX22" s="37"/>
      <c r="UY22" s="37"/>
      <c r="UZ22" s="37"/>
      <c r="VA22" s="37"/>
      <c r="VB22" s="37"/>
      <c r="VC22" s="75"/>
      <c r="VD22" s="65"/>
      <c r="VE22" s="65"/>
      <c r="VF22" s="65"/>
      <c r="VG22" s="65"/>
      <c r="VH22" s="37"/>
      <c r="VI22" s="138"/>
      <c r="VJ22" s="37"/>
      <c r="VK22" s="37"/>
      <c r="VL22" s="37"/>
      <c r="VM22" s="37"/>
      <c r="VN22" s="37"/>
      <c r="VO22" s="75"/>
      <c r="VP22" s="37"/>
      <c r="VQ22" s="37"/>
      <c r="VR22" s="37"/>
      <c r="VS22" s="37"/>
      <c r="VT22" s="37"/>
      <c r="VU22" s="138"/>
      <c r="VV22" s="37"/>
      <c r="VW22" s="37"/>
      <c r="VX22" s="37"/>
      <c r="VY22" s="37"/>
      <c r="VZ22" s="37"/>
      <c r="WA22" s="75"/>
      <c r="WB22" s="37"/>
      <c r="WC22" s="37"/>
      <c r="WD22" s="37"/>
      <c r="WE22" s="37"/>
      <c r="WF22" s="37"/>
      <c r="WG22" s="38"/>
      <c r="WH22" s="36"/>
      <c r="WI22" s="65"/>
      <c r="WJ22" s="65"/>
      <c r="WK22" s="65"/>
      <c r="WL22" s="37"/>
      <c r="WM22" s="133"/>
      <c r="WN22" s="37"/>
      <c r="WO22" s="37"/>
      <c r="WP22" s="37"/>
      <c r="WQ22" s="37"/>
      <c r="WR22" s="37"/>
      <c r="WS22" s="138"/>
      <c r="WT22" s="37"/>
      <c r="WU22" s="37"/>
      <c r="WV22" s="37"/>
      <c r="WW22" s="37"/>
      <c r="WX22" s="37"/>
      <c r="WY22" s="75"/>
      <c r="WZ22" s="37"/>
      <c r="XA22" s="37"/>
      <c r="XB22" s="37"/>
      <c r="XC22" s="37"/>
      <c r="XD22" s="37"/>
      <c r="XE22" s="138"/>
      <c r="XF22" s="37"/>
      <c r="XG22" s="37"/>
      <c r="XH22" s="37"/>
      <c r="XI22" s="37"/>
      <c r="XJ22" s="37"/>
      <c r="XK22" s="75"/>
      <c r="XL22" s="65"/>
      <c r="XM22" s="65"/>
      <c r="XN22" s="65"/>
      <c r="XO22" s="65"/>
      <c r="XP22" s="37"/>
      <c r="XQ22" s="138"/>
      <c r="XR22" s="37"/>
      <c r="XS22" s="37"/>
      <c r="XT22" s="37"/>
      <c r="XU22" s="37"/>
      <c r="XV22" s="37"/>
      <c r="XW22" s="75"/>
      <c r="XX22" s="37"/>
      <c r="XY22" s="37"/>
      <c r="XZ22" s="37"/>
      <c r="YA22" s="37"/>
      <c r="YB22" s="37"/>
      <c r="YC22" s="138"/>
      <c r="YD22" s="37"/>
      <c r="YE22" s="37"/>
      <c r="YF22" s="37"/>
      <c r="YG22" s="37"/>
      <c r="YH22" s="37"/>
      <c r="YI22" s="75"/>
      <c r="YJ22" s="37"/>
      <c r="YK22" s="37"/>
      <c r="YL22" s="37"/>
      <c r="YM22" s="37"/>
      <c r="YN22" s="37"/>
      <c r="YO22" s="38"/>
      <c r="YP22" s="36"/>
      <c r="YQ22" s="65"/>
      <c r="YR22" s="65"/>
      <c r="YS22" s="65"/>
      <c r="YT22" s="37"/>
      <c r="YU22" s="133"/>
      <c r="YV22" s="37"/>
      <c r="YW22" s="37"/>
      <c r="YX22" s="37"/>
      <c r="YY22" s="37"/>
      <c r="YZ22" s="37"/>
      <c r="ZA22" s="138"/>
      <c r="ZB22" s="37"/>
      <c r="ZC22" s="37"/>
      <c r="ZD22" s="37"/>
      <c r="ZE22" s="37"/>
      <c r="ZF22" s="37"/>
      <c r="ZG22" s="75"/>
      <c r="ZH22" s="37"/>
      <c r="ZI22" s="37"/>
      <c r="ZJ22" s="37"/>
      <c r="ZK22" s="37"/>
      <c r="ZL22" s="37"/>
      <c r="ZM22" s="138"/>
      <c r="ZN22" s="37"/>
      <c r="ZO22" s="37"/>
      <c r="ZP22" s="37"/>
      <c r="ZQ22" s="37"/>
      <c r="ZR22" s="37"/>
      <c r="ZS22" s="75"/>
      <c r="ZT22" s="65"/>
      <c r="ZU22" s="65"/>
      <c r="ZV22" s="65"/>
      <c r="ZW22" s="65"/>
      <c r="ZX22" s="37"/>
      <c r="ZY22" s="138"/>
      <c r="ZZ22" s="37"/>
      <c r="AAA22" s="37"/>
      <c r="AAB22" s="37"/>
      <c r="AAC22" s="37"/>
      <c r="AAD22" s="37"/>
      <c r="AAE22" s="75"/>
      <c r="AAF22" s="37"/>
      <c r="AAG22" s="37"/>
      <c r="AAH22" s="37"/>
      <c r="AAI22" s="37"/>
      <c r="AAJ22" s="37"/>
      <c r="AAK22" s="138"/>
      <c r="AAL22" s="37"/>
      <c r="AAM22" s="37"/>
      <c r="AAN22" s="37"/>
      <c r="AAO22" s="37"/>
      <c r="AAP22" s="37"/>
      <c r="AAQ22" s="75"/>
      <c r="AAR22" s="37"/>
      <c r="AAS22" s="37"/>
      <c r="AAT22" s="37"/>
      <c r="AAU22" s="37"/>
      <c r="AAV22" s="37"/>
      <c r="AAW22" s="38"/>
      <c r="AAX22" s="36"/>
      <c r="AAY22" s="65"/>
      <c r="AAZ22" s="65"/>
      <c r="ABA22" s="65"/>
      <c r="ABB22" s="37"/>
      <c r="ABC22" s="133"/>
      <c r="ABD22" s="37"/>
      <c r="ABE22" s="37"/>
      <c r="ABF22" s="37"/>
      <c r="ABG22" s="37"/>
      <c r="ABH22" s="37"/>
      <c r="ABI22" s="138"/>
      <c r="ABJ22" s="37"/>
      <c r="ABK22" s="37"/>
      <c r="ABL22" s="37"/>
      <c r="ABM22" s="37"/>
      <c r="ABN22" s="37"/>
      <c r="ABO22" s="75"/>
      <c r="ABP22" s="37"/>
      <c r="ABQ22" s="37"/>
      <c r="ABR22" s="37"/>
      <c r="ABS22" s="37"/>
      <c r="ABT22" s="37"/>
      <c r="ABU22" s="138"/>
      <c r="ABV22" s="37"/>
      <c r="ABW22" s="37"/>
      <c r="ABX22" s="37"/>
      <c r="ABY22" s="37"/>
      <c r="ABZ22" s="37"/>
      <c r="ACA22" s="75"/>
      <c r="ACB22" s="65"/>
      <c r="ACC22" s="65"/>
      <c r="ACD22" s="65"/>
      <c r="ACE22" s="65"/>
      <c r="ACF22" s="37"/>
      <c r="ACG22" s="138"/>
      <c r="ACH22" s="37"/>
      <c r="ACI22" s="37"/>
      <c r="ACJ22" s="37"/>
      <c r="ACK22" s="37"/>
      <c r="ACL22" s="37"/>
      <c r="ACM22" s="75"/>
      <c r="ACN22" s="37"/>
      <c r="ACO22" s="37"/>
      <c r="ACP22" s="37"/>
      <c r="ACQ22" s="37"/>
      <c r="ACR22" s="37"/>
      <c r="ACS22" s="138"/>
      <c r="ACT22" s="37"/>
      <c r="ACU22" s="37"/>
      <c r="ACV22" s="37"/>
      <c r="ACW22" s="37"/>
      <c r="ACX22" s="37"/>
      <c r="ACY22" s="75"/>
      <c r="ACZ22" s="37"/>
      <c r="ADA22" s="37"/>
      <c r="ADB22" s="37"/>
      <c r="ADC22" s="37"/>
      <c r="ADD22" s="37"/>
      <c r="ADE22" s="38"/>
      <c r="ADF22" s="36"/>
      <c r="ADG22" s="65"/>
      <c r="ADH22" s="65"/>
      <c r="ADI22" s="65"/>
      <c r="ADJ22" s="37"/>
      <c r="ADK22" s="133"/>
      <c r="ADL22" s="37"/>
      <c r="ADM22" s="37"/>
      <c r="ADN22" s="37"/>
      <c r="ADO22" s="37"/>
      <c r="ADP22" s="37"/>
      <c r="ADQ22" s="138"/>
      <c r="ADR22" s="37"/>
      <c r="ADS22" s="37"/>
      <c r="ADT22" s="37"/>
      <c r="ADU22" s="37"/>
      <c r="ADV22" s="37"/>
      <c r="ADW22" s="75"/>
      <c r="ADX22" s="37"/>
      <c r="ADY22" s="37"/>
      <c r="ADZ22" s="37"/>
      <c r="AEA22" s="37"/>
      <c r="AEB22" s="37"/>
      <c r="AEC22" s="138"/>
      <c r="AED22" s="37"/>
      <c r="AEE22" s="37"/>
      <c r="AEF22" s="37"/>
      <c r="AEG22" s="37"/>
      <c r="AEH22" s="37"/>
      <c r="AEI22" s="75"/>
      <c r="AEJ22" s="65"/>
      <c r="AEK22" s="65"/>
      <c r="AEL22" s="65"/>
      <c r="AEM22" s="65"/>
      <c r="AEN22" s="37"/>
      <c r="AEO22" s="138"/>
      <c r="AEP22" s="37"/>
      <c r="AEQ22" s="37"/>
      <c r="AER22" s="37"/>
      <c r="AES22" s="37"/>
      <c r="AET22" s="37"/>
      <c r="AEU22" s="75"/>
      <c r="AEV22" s="37"/>
      <c r="AEW22" s="37"/>
      <c r="AEX22" s="37"/>
      <c r="AEY22" s="37"/>
      <c r="AEZ22" s="37"/>
      <c r="AFA22" s="138"/>
      <c r="AFB22" s="37"/>
      <c r="AFC22" s="37"/>
      <c r="AFD22" s="37"/>
      <c r="AFE22" s="37"/>
      <c r="AFF22" s="37"/>
      <c r="AFG22" s="75"/>
      <c r="AFH22" s="37"/>
      <c r="AFI22" s="37"/>
      <c r="AFJ22" s="37"/>
      <c r="AFK22" s="37"/>
      <c r="AFL22" s="37"/>
      <c r="AFM22" s="38"/>
      <c r="AFN22" s="90"/>
    </row>
    <row r="23" spans="1:846" ht="20.100000000000001" customHeight="1" x14ac:dyDescent="0.25">
      <c r="A23" s="100" t="s">
        <v>20</v>
      </c>
      <c r="B23" s="63" t="str">
        <f>IF(LEN(C31)=0,"",C31)</f>
        <v>Doc - Journal de travail</v>
      </c>
      <c r="C23" s="218" t="s">
        <v>47</v>
      </c>
      <c r="D23" s="146" t="str">
        <f t="shared" si="0"/>
        <v>3h</v>
      </c>
      <c r="E23" s="39">
        <v>36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174"/>
      <c r="KU23" s="175"/>
      <c r="KV23" s="175"/>
      <c r="KW23" s="175"/>
      <c r="KX23" s="176"/>
      <c r="KY23" s="177"/>
      <c r="KZ23" s="176"/>
      <c r="LA23" s="176"/>
      <c r="LB23" s="176"/>
      <c r="LC23" s="176"/>
      <c r="LD23" s="176"/>
      <c r="LE23" s="178"/>
      <c r="LF23" s="176"/>
      <c r="LG23" s="176"/>
      <c r="LH23" s="176"/>
      <c r="LI23" s="176"/>
      <c r="LJ23" s="176"/>
      <c r="LK23" s="179"/>
      <c r="LL23" s="176"/>
      <c r="LM23" s="176"/>
      <c r="LN23" s="176"/>
      <c r="LO23" s="176"/>
      <c r="LP23" s="176"/>
      <c r="LQ23" s="178"/>
      <c r="LR23" s="176"/>
      <c r="LS23" s="176"/>
      <c r="LT23" s="176"/>
      <c r="LU23" s="176"/>
      <c r="LV23" s="176"/>
      <c r="LW23" s="179"/>
      <c r="LX23" s="175"/>
      <c r="LY23" s="175"/>
      <c r="LZ23" s="175"/>
      <c r="MA23" s="175"/>
      <c r="MB23" s="176"/>
      <c r="MC23" s="178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41"/>
      <c r="NX23" s="41"/>
      <c r="NY23" s="139"/>
      <c r="NZ23" s="41"/>
      <c r="OA23" s="41"/>
      <c r="OB23" s="4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40"/>
      <c r="RS23" s="66"/>
      <c r="RT23" s="66"/>
      <c r="RU23" s="66"/>
      <c r="RV23" s="41"/>
      <c r="RW23" s="134"/>
      <c r="RX23" s="41"/>
      <c r="RY23" s="41"/>
      <c r="RZ23" s="41"/>
      <c r="SA23" s="41"/>
      <c r="SB23" s="41"/>
      <c r="SC23" s="139"/>
      <c r="SD23" s="41"/>
      <c r="SE23" s="41"/>
      <c r="SF23" s="41"/>
      <c r="SG23" s="41"/>
      <c r="SH23" s="41"/>
      <c r="SI23" s="76"/>
      <c r="SJ23" s="41"/>
      <c r="SK23" s="41"/>
      <c r="SL23" s="41"/>
      <c r="SM23" s="41"/>
      <c r="SN23" s="41"/>
      <c r="SO23" s="139"/>
      <c r="SP23" s="41"/>
      <c r="SQ23" s="41"/>
      <c r="SR23" s="41"/>
      <c r="SS23" s="41"/>
      <c r="ST23" s="41"/>
      <c r="SU23" s="76"/>
      <c r="SV23" s="66"/>
      <c r="SW23" s="66"/>
      <c r="SX23" s="66"/>
      <c r="SY23" s="66"/>
      <c r="SZ23" s="41"/>
      <c r="TA23" s="139"/>
      <c r="TB23" s="41"/>
      <c r="TC23" s="41"/>
      <c r="TD23" s="41"/>
      <c r="TE23" s="41"/>
      <c r="TF23" s="41"/>
      <c r="TG23" s="76"/>
      <c r="TH23" s="41"/>
      <c r="TI23" s="41"/>
      <c r="TJ23" s="41"/>
      <c r="TK23" s="41"/>
      <c r="TL23" s="41"/>
      <c r="TM23" s="139"/>
      <c r="TN23" s="41"/>
      <c r="TO23" s="41"/>
      <c r="TP23" s="41"/>
      <c r="TQ23" s="41"/>
      <c r="TR23" s="41"/>
      <c r="TS23" s="76"/>
      <c r="TT23" s="41"/>
      <c r="TU23" s="41"/>
      <c r="TV23" s="41"/>
      <c r="TW23" s="41"/>
      <c r="TX23" s="41"/>
      <c r="TY23" s="42"/>
      <c r="TZ23" s="40"/>
      <c r="UA23" s="66"/>
      <c r="UB23" s="66"/>
      <c r="UC23" s="66"/>
      <c r="UD23" s="41"/>
      <c r="UE23" s="134"/>
      <c r="UF23" s="41"/>
      <c r="UG23" s="41"/>
      <c r="UH23" s="41"/>
      <c r="UI23" s="41"/>
      <c r="UJ23" s="41"/>
      <c r="UK23" s="139"/>
      <c r="UL23" s="41"/>
      <c r="UM23" s="41"/>
      <c r="UN23" s="41"/>
      <c r="UO23" s="41"/>
      <c r="UP23" s="41"/>
      <c r="UQ23" s="76"/>
      <c r="UR23" s="41"/>
      <c r="US23" s="41"/>
      <c r="UT23" s="41"/>
      <c r="UU23" s="41"/>
      <c r="UV23" s="41"/>
      <c r="UW23" s="139"/>
      <c r="UX23" s="41"/>
      <c r="UY23" s="41"/>
      <c r="UZ23" s="41"/>
      <c r="VA23" s="41"/>
      <c r="VB23" s="41"/>
      <c r="VC23" s="76"/>
      <c r="VD23" s="66"/>
      <c r="VE23" s="66"/>
      <c r="VF23" s="66"/>
      <c r="VG23" s="66"/>
      <c r="VH23" s="41"/>
      <c r="VI23" s="139"/>
      <c r="VJ23" s="41"/>
      <c r="VK23" s="41"/>
      <c r="VL23" s="41"/>
      <c r="VM23" s="41"/>
      <c r="VN23" s="41"/>
      <c r="VO23" s="76"/>
      <c r="VP23" s="41"/>
      <c r="VQ23" s="41"/>
      <c r="VR23" s="41"/>
      <c r="VS23" s="41"/>
      <c r="VT23" s="41"/>
      <c r="VU23" s="139"/>
      <c r="VV23" s="41"/>
      <c r="VW23" s="41"/>
      <c r="VX23" s="41"/>
      <c r="VY23" s="41"/>
      <c r="VZ23" s="41"/>
      <c r="WA23" s="76"/>
      <c r="WB23" s="41"/>
      <c r="WC23" s="41"/>
      <c r="WD23" s="41"/>
      <c r="WE23" s="41"/>
      <c r="WF23" s="41"/>
      <c r="WG23" s="42"/>
      <c r="WH23" s="40"/>
      <c r="WI23" s="66"/>
      <c r="WJ23" s="66"/>
      <c r="WK23" s="66"/>
      <c r="WL23" s="41"/>
      <c r="WM23" s="134"/>
      <c r="WN23" s="41"/>
      <c r="WO23" s="41"/>
      <c r="WP23" s="41"/>
      <c r="WQ23" s="41"/>
      <c r="WR23" s="41"/>
      <c r="WS23" s="139"/>
      <c r="WT23" s="41"/>
      <c r="WU23" s="41"/>
      <c r="WV23" s="41"/>
      <c r="WW23" s="41"/>
      <c r="WX23" s="41"/>
      <c r="WY23" s="76"/>
      <c r="WZ23" s="41"/>
      <c r="XA23" s="41"/>
      <c r="XB23" s="41"/>
      <c r="XC23" s="41"/>
      <c r="XD23" s="41"/>
      <c r="XE23" s="139"/>
      <c r="XF23" s="41"/>
      <c r="XG23" s="41"/>
      <c r="XH23" s="41"/>
      <c r="XI23" s="41"/>
      <c r="XJ23" s="41"/>
      <c r="XK23" s="76"/>
      <c r="XL23" s="66"/>
      <c r="XM23" s="66"/>
      <c r="XN23" s="66"/>
      <c r="XO23" s="66"/>
      <c r="XP23" s="41"/>
      <c r="XQ23" s="139"/>
      <c r="XR23" s="41"/>
      <c r="XS23" s="41"/>
      <c r="XT23" s="41"/>
      <c r="XU23" s="41"/>
      <c r="XV23" s="41"/>
      <c r="XW23" s="76"/>
      <c r="XX23" s="41"/>
      <c r="XY23" s="41"/>
      <c r="XZ23" s="41"/>
      <c r="YA23" s="41"/>
      <c r="YB23" s="41"/>
      <c r="YC23" s="139"/>
      <c r="YD23" s="41"/>
      <c r="YE23" s="41"/>
      <c r="YF23" s="41"/>
      <c r="YG23" s="41"/>
      <c r="YH23" s="41"/>
      <c r="YI23" s="76"/>
      <c r="YJ23" s="41"/>
      <c r="YK23" s="41"/>
      <c r="YL23" s="41"/>
      <c r="YM23" s="41"/>
      <c r="YN23" s="41"/>
      <c r="YO23" s="42"/>
      <c r="YP23" s="40"/>
      <c r="YQ23" s="66"/>
      <c r="YR23" s="66"/>
      <c r="YS23" s="66"/>
      <c r="YT23" s="41"/>
      <c r="YU23" s="134"/>
      <c r="YV23" s="41"/>
      <c r="YW23" s="41"/>
      <c r="YX23" s="41"/>
      <c r="YY23" s="41"/>
      <c r="YZ23" s="41"/>
      <c r="ZA23" s="139"/>
      <c r="ZB23" s="41"/>
      <c r="ZC23" s="41"/>
      <c r="ZD23" s="41"/>
      <c r="ZE23" s="41"/>
      <c r="ZF23" s="41"/>
      <c r="ZG23" s="76"/>
      <c r="ZH23" s="41"/>
      <c r="ZI23" s="41"/>
      <c r="ZJ23" s="41"/>
      <c r="ZK23" s="41"/>
      <c r="ZL23" s="41"/>
      <c r="ZM23" s="139"/>
      <c r="ZN23" s="41"/>
      <c r="ZO23" s="41"/>
      <c r="ZP23" s="41"/>
      <c r="ZQ23" s="41"/>
      <c r="ZR23" s="41"/>
      <c r="ZS23" s="76"/>
      <c r="ZT23" s="66"/>
      <c r="ZU23" s="66"/>
      <c r="ZV23" s="66"/>
      <c r="ZW23" s="66"/>
      <c r="ZX23" s="41"/>
      <c r="ZY23" s="139"/>
      <c r="ZZ23" s="41"/>
      <c r="AAA23" s="41"/>
      <c r="AAB23" s="41"/>
      <c r="AAC23" s="41"/>
      <c r="AAD23" s="41"/>
      <c r="AAE23" s="76"/>
      <c r="AAF23" s="41"/>
      <c r="AAG23" s="41"/>
      <c r="AAH23" s="41"/>
      <c r="AAI23" s="41"/>
      <c r="AAJ23" s="41"/>
      <c r="AAK23" s="139"/>
      <c r="AAL23" s="41"/>
      <c r="AAM23" s="41"/>
      <c r="AAN23" s="41"/>
      <c r="AAO23" s="41"/>
      <c r="AAP23" s="41"/>
      <c r="AAQ23" s="76"/>
      <c r="AAR23" s="41"/>
      <c r="AAS23" s="41"/>
      <c r="AAT23" s="41"/>
      <c r="AAU23" s="41"/>
      <c r="AAV23" s="41"/>
      <c r="AAW23" s="42"/>
      <c r="AAX23" s="40"/>
      <c r="AAY23" s="66"/>
      <c r="AAZ23" s="66"/>
      <c r="ABA23" s="66"/>
      <c r="ABB23" s="41"/>
      <c r="ABC23" s="134"/>
      <c r="ABD23" s="41"/>
      <c r="ABE23" s="41"/>
      <c r="ABF23" s="41"/>
      <c r="ABG23" s="41"/>
      <c r="ABH23" s="41"/>
      <c r="ABI23" s="139"/>
      <c r="ABJ23" s="41"/>
      <c r="ABK23" s="41"/>
      <c r="ABL23" s="41"/>
      <c r="ABM23" s="41"/>
      <c r="ABN23" s="41"/>
      <c r="ABO23" s="76"/>
      <c r="ABP23" s="41"/>
      <c r="ABQ23" s="41"/>
      <c r="ABR23" s="41"/>
      <c r="ABS23" s="41"/>
      <c r="ABT23" s="41"/>
      <c r="ABU23" s="139"/>
      <c r="ABV23" s="41"/>
      <c r="ABW23" s="41"/>
      <c r="ABX23" s="41"/>
      <c r="ABY23" s="41"/>
      <c r="ABZ23" s="41"/>
      <c r="ACA23" s="76"/>
      <c r="ACB23" s="66"/>
      <c r="ACC23" s="66"/>
      <c r="ACD23" s="66"/>
      <c r="ACE23" s="66"/>
      <c r="ACF23" s="41"/>
      <c r="ACG23" s="139"/>
      <c r="ACH23" s="41"/>
      <c r="ACI23" s="41"/>
      <c r="ACJ23" s="41"/>
      <c r="ACK23" s="41"/>
      <c r="ACL23" s="41"/>
      <c r="ACM23" s="76"/>
      <c r="ACN23" s="41"/>
      <c r="ACO23" s="41"/>
      <c r="ACP23" s="41"/>
      <c r="ACQ23" s="41"/>
      <c r="ACR23" s="41"/>
      <c r="ACS23" s="139"/>
      <c r="ACT23" s="41"/>
      <c r="ACU23" s="41"/>
      <c r="ACV23" s="41"/>
      <c r="ACW23" s="41"/>
      <c r="ACX23" s="41"/>
      <c r="ACY23" s="76"/>
      <c r="ACZ23" s="41"/>
      <c r="ADA23" s="41"/>
      <c r="ADB23" s="41"/>
      <c r="ADC23" s="41"/>
      <c r="ADD23" s="41"/>
      <c r="ADE23" s="42"/>
      <c r="ADF23" s="40"/>
      <c r="ADG23" s="66"/>
      <c r="ADH23" s="66"/>
      <c r="ADI23" s="66"/>
      <c r="ADJ23" s="41"/>
      <c r="ADK23" s="134"/>
      <c r="ADL23" s="41"/>
      <c r="ADM23" s="41"/>
      <c r="ADN23" s="41"/>
      <c r="ADO23" s="41"/>
      <c r="ADP23" s="41"/>
      <c r="ADQ23" s="139"/>
      <c r="ADR23" s="41"/>
      <c r="ADS23" s="41"/>
      <c r="ADT23" s="41"/>
      <c r="ADU23" s="41"/>
      <c r="ADV23" s="41"/>
      <c r="ADW23" s="76"/>
      <c r="ADX23" s="41"/>
      <c r="ADY23" s="41"/>
      <c r="ADZ23" s="41"/>
      <c r="AEA23" s="41"/>
      <c r="AEB23" s="41"/>
      <c r="AEC23" s="139"/>
      <c r="AED23" s="41"/>
      <c r="AEE23" s="41"/>
      <c r="AEF23" s="41"/>
      <c r="AEG23" s="41"/>
      <c r="AEH23" s="41"/>
      <c r="AEI23" s="76"/>
      <c r="AEJ23" s="66"/>
      <c r="AEK23" s="66"/>
      <c r="AEL23" s="66"/>
      <c r="AEM23" s="66"/>
      <c r="AEN23" s="41"/>
      <c r="AEO23" s="139"/>
      <c r="AEP23" s="41"/>
      <c r="AEQ23" s="41"/>
      <c r="AER23" s="41"/>
      <c r="AES23" s="41"/>
      <c r="AET23" s="41"/>
      <c r="AEU23" s="76"/>
      <c r="AEV23" s="41"/>
      <c r="AEW23" s="41"/>
      <c r="AEX23" s="41"/>
      <c r="AEY23" s="41"/>
      <c r="AEZ23" s="41"/>
      <c r="AFA23" s="139"/>
      <c r="AFB23" s="41"/>
      <c r="AFC23" s="41"/>
      <c r="AFD23" s="41"/>
      <c r="AFE23" s="41"/>
      <c r="AFF23" s="41"/>
      <c r="AFG23" s="76"/>
      <c r="AFH23" s="41"/>
      <c r="AFI23" s="41"/>
      <c r="AFJ23" s="41"/>
      <c r="AFK23" s="41"/>
      <c r="AFL23" s="41"/>
      <c r="AFM23" s="42"/>
      <c r="AFN23" s="90"/>
    </row>
    <row r="24" spans="1:846" ht="20.100000000000001" customHeight="1" x14ac:dyDescent="0.25">
      <c r="A24" s="100" t="s">
        <v>21</v>
      </c>
      <c r="B24" s="63" t="str">
        <f>IF(LEN(C33)=0,"",C33)</f>
        <v>Doc - Rapport</v>
      </c>
      <c r="C24" s="220"/>
      <c r="D24" s="147" t="str">
        <f t="shared" si="0"/>
        <v>1h30min</v>
      </c>
      <c r="E24" s="27">
        <v>18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186"/>
      <c r="KU24" s="187"/>
      <c r="KV24" s="187"/>
      <c r="KW24" s="187"/>
      <c r="KX24" s="188"/>
      <c r="KY24" s="189"/>
      <c r="KZ24" s="188"/>
      <c r="LA24" s="188"/>
      <c r="LB24" s="188"/>
      <c r="LC24" s="188"/>
      <c r="LD24" s="188"/>
      <c r="LE24" s="190"/>
      <c r="LF24" s="188"/>
      <c r="LG24" s="188"/>
      <c r="LH24" s="188"/>
      <c r="LI24" s="188"/>
      <c r="LJ24" s="188"/>
      <c r="LK24" s="191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28"/>
      <c r="RS24" s="67"/>
      <c r="RT24" s="67"/>
      <c r="RU24" s="67"/>
      <c r="RV24" s="29"/>
      <c r="RW24" s="131"/>
      <c r="RX24" s="29"/>
      <c r="RY24" s="29"/>
      <c r="RZ24" s="29"/>
      <c r="SA24" s="29"/>
      <c r="SB24" s="29"/>
      <c r="SC24" s="136"/>
      <c r="SD24" s="29"/>
      <c r="SE24" s="29"/>
      <c r="SF24" s="29"/>
      <c r="SG24" s="29"/>
      <c r="SH24" s="29"/>
      <c r="SI24" s="73"/>
      <c r="SJ24" s="29"/>
      <c r="SK24" s="29"/>
      <c r="SL24" s="29"/>
      <c r="SM24" s="29"/>
      <c r="SN24" s="29"/>
      <c r="SO24" s="136"/>
      <c r="SP24" s="29"/>
      <c r="SQ24" s="29"/>
      <c r="SR24" s="29"/>
      <c r="SS24" s="29"/>
      <c r="ST24" s="29"/>
      <c r="SU24" s="73"/>
      <c r="SV24" s="67"/>
      <c r="SW24" s="67"/>
      <c r="SX24" s="67"/>
      <c r="SY24" s="67"/>
      <c r="SZ24" s="29"/>
      <c r="TA24" s="136"/>
      <c r="TB24" s="29"/>
      <c r="TC24" s="29"/>
      <c r="TD24" s="29"/>
      <c r="TE24" s="29"/>
      <c r="TF24" s="29"/>
      <c r="TG24" s="73"/>
      <c r="TH24" s="29"/>
      <c r="TI24" s="29"/>
      <c r="TJ24" s="29"/>
      <c r="TK24" s="29"/>
      <c r="TL24" s="29"/>
      <c r="TM24" s="136"/>
      <c r="TN24" s="29"/>
      <c r="TO24" s="29"/>
      <c r="TP24" s="29"/>
      <c r="TQ24" s="29"/>
      <c r="TR24" s="29"/>
      <c r="TS24" s="73"/>
      <c r="TT24" s="29"/>
      <c r="TU24" s="29"/>
      <c r="TV24" s="29"/>
      <c r="TW24" s="29"/>
      <c r="TX24" s="29"/>
      <c r="TY24" s="30"/>
      <c r="TZ24" s="28"/>
      <c r="UA24" s="67"/>
      <c r="UB24" s="67"/>
      <c r="UC24" s="67"/>
      <c r="UD24" s="29"/>
      <c r="UE24" s="131"/>
      <c r="UF24" s="29"/>
      <c r="UG24" s="29"/>
      <c r="UH24" s="29"/>
      <c r="UI24" s="29"/>
      <c r="UJ24" s="29"/>
      <c r="UK24" s="136"/>
      <c r="UL24" s="29"/>
      <c r="UM24" s="29"/>
      <c r="UN24" s="29"/>
      <c r="UO24" s="29"/>
      <c r="UP24" s="29"/>
      <c r="UQ24" s="73"/>
      <c r="UR24" s="29"/>
      <c r="US24" s="29"/>
      <c r="UT24" s="29"/>
      <c r="UU24" s="29"/>
      <c r="UV24" s="29"/>
      <c r="UW24" s="136"/>
      <c r="UX24" s="29"/>
      <c r="UY24" s="29"/>
      <c r="UZ24" s="29"/>
      <c r="VA24" s="29"/>
      <c r="VB24" s="29"/>
      <c r="VC24" s="73"/>
      <c r="VD24" s="67"/>
      <c r="VE24" s="67"/>
      <c r="VF24" s="67"/>
      <c r="VG24" s="67"/>
      <c r="VH24" s="29"/>
      <c r="VI24" s="136"/>
      <c r="VJ24" s="29"/>
      <c r="VK24" s="29"/>
      <c r="VL24" s="29"/>
      <c r="VM24" s="29"/>
      <c r="VN24" s="29"/>
      <c r="VO24" s="73"/>
      <c r="VP24" s="29"/>
      <c r="VQ24" s="29"/>
      <c r="VR24" s="29"/>
      <c r="VS24" s="29"/>
      <c r="VT24" s="29"/>
      <c r="VU24" s="136"/>
      <c r="VV24" s="29"/>
      <c r="VW24" s="29"/>
      <c r="VX24" s="29"/>
      <c r="VY24" s="29"/>
      <c r="VZ24" s="29"/>
      <c r="WA24" s="73"/>
      <c r="WB24" s="29"/>
      <c r="WC24" s="29"/>
      <c r="WD24" s="29"/>
      <c r="WE24" s="29"/>
      <c r="WF24" s="29"/>
      <c r="WG24" s="30"/>
      <c r="WH24" s="28"/>
      <c r="WI24" s="67"/>
      <c r="WJ24" s="67"/>
      <c r="WK24" s="67"/>
      <c r="WL24" s="29"/>
      <c r="WM24" s="131"/>
      <c r="WN24" s="29"/>
      <c r="WO24" s="29"/>
      <c r="WP24" s="29"/>
      <c r="WQ24" s="29"/>
      <c r="WR24" s="29"/>
      <c r="WS24" s="136"/>
      <c r="WT24" s="29"/>
      <c r="WU24" s="29"/>
      <c r="WV24" s="29"/>
      <c r="WW24" s="29"/>
      <c r="WX24" s="29"/>
      <c r="WY24" s="73"/>
      <c r="WZ24" s="29"/>
      <c r="XA24" s="29"/>
      <c r="XB24" s="29"/>
      <c r="XC24" s="29"/>
      <c r="XD24" s="29"/>
      <c r="XE24" s="136"/>
      <c r="XF24" s="29"/>
      <c r="XG24" s="29"/>
      <c r="XH24" s="29"/>
      <c r="XI24" s="29"/>
      <c r="XJ24" s="29"/>
      <c r="XK24" s="73"/>
      <c r="XL24" s="67"/>
      <c r="XM24" s="67"/>
      <c r="XN24" s="67"/>
      <c r="XO24" s="67"/>
      <c r="XP24" s="29"/>
      <c r="XQ24" s="136"/>
      <c r="XR24" s="29"/>
      <c r="XS24" s="29"/>
      <c r="XT24" s="29"/>
      <c r="XU24" s="29"/>
      <c r="XV24" s="29"/>
      <c r="XW24" s="73"/>
      <c r="XX24" s="29"/>
      <c r="XY24" s="29"/>
      <c r="XZ24" s="29"/>
      <c r="YA24" s="29"/>
      <c r="YB24" s="29"/>
      <c r="YC24" s="136"/>
      <c r="YD24" s="29"/>
      <c r="YE24" s="29"/>
      <c r="YF24" s="29"/>
      <c r="YG24" s="29"/>
      <c r="YH24" s="29"/>
      <c r="YI24" s="73"/>
      <c r="YJ24" s="29"/>
      <c r="YK24" s="29"/>
      <c r="YL24" s="29"/>
      <c r="YM24" s="29"/>
      <c r="YN24" s="29"/>
      <c r="YO24" s="30"/>
      <c r="YP24" s="28"/>
      <c r="YQ24" s="67"/>
      <c r="YR24" s="67"/>
      <c r="YS24" s="67"/>
      <c r="YT24" s="29"/>
      <c r="YU24" s="131"/>
      <c r="YV24" s="29"/>
      <c r="YW24" s="29"/>
      <c r="YX24" s="29"/>
      <c r="YY24" s="29"/>
      <c r="YZ24" s="29"/>
      <c r="ZA24" s="136"/>
      <c r="ZB24" s="29"/>
      <c r="ZC24" s="29"/>
      <c r="ZD24" s="29"/>
      <c r="ZE24" s="29"/>
      <c r="ZF24" s="29"/>
      <c r="ZG24" s="73"/>
      <c r="ZH24" s="29"/>
      <c r="ZI24" s="29"/>
      <c r="ZJ24" s="29"/>
      <c r="ZK24" s="29"/>
      <c r="ZL24" s="29"/>
      <c r="ZM24" s="136"/>
      <c r="ZN24" s="29"/>
      <c r="ZO24" s="29"/>
      <c r="ZP24" s="29"/>
      <c r="ZQ24" s="29"/>
      <c r="ZR24" s="29"/>
      <c r="ZS24" s="73"/>
      <c r="ZT24" s="67"/>
      <c r="ZU24" s="67"/>
      <c r="ZV24" s="67"/>
      <c r="ZW24" s="67"/>
      <c r="ZX24" s="29"/>
      <c r="ZY24" s="136"/>
      <c r="ZZ24" s="29"/>
      <c r="AAA24" s="29"/>
      <c r="AAB24" s="29"/>
      <c r="AAC24" s="29"/>
      <c r="AAD24" s="29"/>
      <c r="AAE24" s="73"/>
      <c r="AAF24" s="29"/>
      <c r="AAG24" s="29"/>
      <c r="AAH24" s="29"/>
      <c r="AAI24" s="29"/>
      <c r="AAJ24" s="29"/>
      <c r="AAK24" s="136"/>
      <c r="AAL24" s="29"/>
      <c r="AAM24" s="29"/>
      <c r="AAN24" s="29"/>
      <c r="AAO24" s="29"/>
      <c r="AAP24" s="29"/>
      <c r="AAQ24" s="73"/>
      <c r="AAR24" s="29"/>
      <c r="AAS24" s="29"/>
      <c r="AAT24" s="29"/>
      <c r="AAU24" s="29"/>
      <c r="AAV24" s="29"/>
      <c r="AAW24" s="30"/>
      <c r="AAX24" s="28"/>
      <c r="AAY24" s="67"/>
      <c r="AAZ24" s="67"/>
      <c r="ABA24" s="67"/>
      <c r="ABB24" s="29"/>
      <c r="ABC24" s="131"/>
      <c r="ABD24" s="29"/>
      <c r="ABE24" s="29"/>
      <c r="ABF24" s="29"/>
      <c r="ABG24" s="29"/>
      <c r="ABH24" s="29"/>
      <c r="ABI24" s="136"/>
      <c r="ABJ24" s="29"/>
      <c r="ABK24" s="29"/>
      <c r="ABL24" s="29"/>
      <c r="ABM24" s="29"/>
      <c r="ABN24" s="29"/>
      <c r="ABO24" s="73"/>
      <c r="ABP24" s="29"/>
      <c r="ABQ24" s="29"/>
      <c r="ABR24" s="29"/>
      <c r="ABS24" s="29"/>
      <c r="ABT24" s="29"/>
      <c r="ABU24" s="136"/>
      <c r="ABV24" s="29"/>
      <c r="ABW24" s="29"/>
      <c r="ABX24" s="29"/>
      <c r="ABY24" s="29"/>
      <c r="ABZ24" s="29"/>
      <c r="ACA24" s="73"/>
      <c r="ACB24" s="67"/>
      <c r="ACC24" s="67"/>
      <c r="ACD24" s="67"/>
      <c r="ACE24" s="67"/>
      <c r="ACF24" s="29"/>
      <c r="ACG24" s="136"/>
      <c r="ACH24" s="29"/>
      <c r="ACI24" s="29"/>
      <c r="ACJ24" s="29"/>
      <c r="ACK24" s="29"/>
      <c r="ACL24" s="29"/>
      <c r="ACM24" s="73"/>
      <c r="ACN24" s="29"/>
      <c r="ACO24" s="29"/>
      <c r="ACP24" s="29"/>
      <c r="ACQ24" s="29"/>
      <c r="ACR24" s="29"/>
      <c r="ACS24" s="136"/>
      <c r="ACT24" s="29"/>
      <c r="ACU24" s="29"/>
      <c r="ACV24" s="29"/>
      <c r="ACW24" s="29"/>
      <c r="ACX24" s="29"/>
      <c r="ACY24" s="73"/>
      <c r="ACZ24" s="29"/>
      <c r="ADA24" s="29"/>
      <c r="ADB24" s="29"/>
      <c r="ADC24" s="29"/>
      <c r="ADD24" s="29"/>
      <c r="ADE24" s="30"/>
      <c r="ADF24" s="28"/>
      <c r="ADG24" s="67"/>
      <c r="ADH24" s="67"/>
      <c r="ADI24" s="67"/>
      <c r="ADJ24" s="29"/>
      <c r="ADK24" s="131"/>
      <c r="ADL24" s="29"/>
      <c r="ADM24" s="29"/>
      <c r="ADN24" s="29"/>
      <c r="ADO24" s="29"/>
      <c r="ADP24" s="29"/>
      <c r="ADQ24" s="136"/>
      <c r="ADR24" s="29"/>
      <c r="ADS24" s="29"/>
      <c r="ADT24" s="29"/>
      <c r="ADU24" s="29"/>
      <c r="ADV24" s="29"/>
      <c r="ADW24" s="73"/>
      <c r="ADX24" s="29"/>
      <c r="ADY24" s="29"/>
      <c r="ADZ24" s="29"/>
      <c r="AEA24" s="29"/>
      <c r="AEB24" s="29"/>
      <c r="AEC24" s="136"/>
      <c r="AED24" s="29"/>
      <c r="AEE24" s="29"/>
      <c r="AEF24" s="29"/>
      <c r="AEG24" s="29"/>
      <c r="AEH24" s="29"/>
      <c r="AEI24" s="73"/>
      <c r="AEJ24" s="67"/>
      <c r="AEK24" s="67"/>
      <c r="AEL24" s="67"/>
      <c r="AEM24" s="67"/>
      <c r="AEN24" s="29"/>
      <c r="AEO24" s="136"/>
      <c r="AEP24" s="29"/>
      <c r="AEQ24" s="29"/>
      <c r="AER24" s="29"/>
      <c r="AES24" s="29"/>
      <c r="AET24" s="29"/>
      <c r="AEU24" s="73"/>
      <c r="AEV24" s="29"/>
      <c r="AEW24" s="29"/>
      <c r="AEX24" s="29"/>
      <c r="AEY24" s="29"/>
      <c r="AEZ24" s="29"/>
      <c r="AFA24" s="136"/>
      <c r="AFB24" s="29"/>
      <c r="AFC24" s="29"/>
      <c r="AFD24" s="29"/>
      <c r="AFE24" s="29"/>
      <c r="AFF24" s="29"/>
      <c r="AFG24" s="73"/>
      <c r="AFH24" s="29"/>
      <c r="AFI24" s="29"/>
      <c r="AFJ24" s="29"/>
      <c r="AFK24" s="29"/>
      <c r="AFL24" s="29"/>
      <c r="AFM24" s="30"/>
      <c r="AFN24" s="90"/>
    </row>
    <row r="25" spans="1:846" ht="20.100000000000001" customHeight="1" x14ac:dyDescent="0.25">
      <c r="A25" s="100" t="s">
        <v>20</v>
      </c>
      <c r="B25" s="63" t="str">
        <f>IF(LEN(C35)=0,"",C35)</f>
        <v>Recherche - Spécifications techniques</v>
      </c>
      <c r="C25" s="218" t="s">
        <v>48</v>
      </c>
      <c r="D25" s="146" t="str">
        <f t="shared" si="0"/>
        <v>3h</v>
      </c>
      <c r="E25" s="31">
        <v>36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168"/>
      <c r="NC25" s="169"/>
      <c r="ND25" s="169"/>
      <c r="NE25" s="169"/>
      <c r="NF25" s="170"/>
      <c r="NG25" s="171"/>
      <c r="NH25" s="170"/>
      <c r="NI25" s="170"/>
      <c r="NJ25" s="170"/>
      <c r="NK25" s="170"/>
      <c r="NL25" s="170"/>
      <c r="NM25" s="172"/>
      <c r="NN25" s="170"/>
      <c r="NO25" s="170"/>
      <c r="NP25" s="170"/>
      <c r="NQ25" s="170"/>
      <c r="NR25" s="170"/>
      <c r="NS25" s="173"/>
      <c r="NT25" s="170"/>
      <c r="NU25" s="170"/>
      <c r="NV25" s="170"/>
      <c r="NW25" s="170"/>
      <c r="NX25" s="170"/>
      <c r="NY25" s="172"/>
      <c r="NZ25" s="170"/>
      <c r="OA25" s="170"/>
      <c r="OB25" s="170"/>
      <c r="OC25" s="170"/>
      <c r="OD25" s="170"/>
      <c r="OE25" s="173"/>
      <c r="OF25" s="169"/>
      <c r="OG25" s="169"/>
      <c r="OH25" s="169"/>
      <c r="OI25" s="169"/>
      <c r="OJ25" s="170"/>
      <c r="OK25" s="172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32"/>
      <c r="RS25" s="64"/>
      <c r="RT25" s="64"/>
      <c r="RU25" s="64"/>
      <c r="RV25" s="33"/>
      <c r="RW25" s="132"/>
      <c r="RX25" s="33"/>
      <c r="RY25" s="33"/>
      <c r="RZ25" s="33"/>
      <c r="SA25" s="33"/>
      <c r="SB25" s="33"/>
      <c r="SC25" s="137"/>
      <c r="SD25" s="33"/>
      <c r="SE25" s="33"/>
      <c r="SF25" s="33"/>
      <c r="SG25" s="33"/>
      <c r="SH25" s="33"/>
      <c r="SI25" s="74"/>
      <c r="SJ25" s="33"/>
      <c r="SK25" s="33"/>
      <c r="SL25" s="33"/>
      <c r="SM25" s="33"/>
      <c r="SN25" s="33"/>
      <c r="SO25" s="137"/>
      <c r="SP25" s="33"/>
      <c r="SQ25" s="33"/>
      <c r="SR25" s="33"/>
      <c r="SS25" s="33"/>
      <c r="ST25" s="33"/>
      <c r="SU25" s="74"/>
      <c r="SV25" s="64"/>
      <c r="SW25" s="64"/>
      <c r="SX25" s="64"/>
      <c r="SY25" s="64"/>
      <c r="SZ25" s="33"/>
      <c r="TA25" s="137"/>
      <c r="TB25" s="33"/>
      <c r="TC25" s="33"/>
      <c r="TD25" s="33"/>
      <c r="TE25" s="33"/>
      <c r="TF25" s="33"/>
      <c r="TG25" s="74"/>
      <c r="TH25" s="33"/>
      <c r="TI25" s="33"/>
      <c r="TJ25" s="33"/>
      <c r="TK25" s="33"/>
      <c r="TL25" s="33"/>
      <c r="TM25" s="137"/>
      <c r="TN25" s="33"/>
      <c r="TO25" s="33"/>
      <c r="TP25" s="33"/>
      <c r="TQ25" s="33"/>
      <c r="TR25" s="33"/>
      <c r="TS25" s="74"/>
      <c r="TT25" s="33"/>
      <c r="TU25" s="33"/>
      <c r="TV25" s="33"/>
      <c r="TW25" s="33"/>
      <c r="TX25" s="33"/>
      <c r="TY25" s="34"/>
      <c r="TZ25" s="32"/>
      <c r="UA25" s="64"/>
      <c r="UB25" s="64"/>
      <c r="UC25" s="64"/>
      <c r="UD25" s="33"/>
      <c r="UE25" s="132"/>
      <c r="UF25" s="33"/>
      <c r="UG25" s="33"/>
      <c r="UH25" s="33"/>
      <c r="UI25" s="33"/>
      <c r="UJ25" s="33"/>
      <c r="UK25" s="137"/>
      <c r="UL25" s="33"/>
      <c r="UM25" s="33"/>
      <c r="UN25" s="33"/>
      <c r="UO25" s="33"/>
      <c r="UP25" s="33"/>
      <c r="UQ25" s="74"/>
      <c r="UR25" s="33"/>
      <c r="US25" s="33"/>
      <c r="UT25" s="33"/>
      <c r="UU25" s="33"/>
      <c r="UV25" s="33"/>
      <c r="UW25" s="137"/>
      <c r="UX25" s="33"/>
      <c r="UY25" s="33"/>
      <c r="UZ25" s="33"/>
      <c r="VA25" s="33"/>
      <c r="VB25" s="33"/>
      <c r="VC25" s="74"/>
      <c r="VD25" s="64"/>
      <c r="VE25" s="64"/>
      <c r="VF25" s="64"/>
      <c r="VG25" s="64"/>
      <c r="VH25" s="33"/>
      <c r="VI25" s="137"/>
      <c r="VJ25" s="33"/>
      <c r="VK25" s="33"/>
      <c r="VL25" s="33"/>
      <c r="VM25" s="33"/>
      <c r="VN25" s="33"/>
      <c r="VO25" s="74"/>
      <c r="VP25" s="33"/>
      <c r="VQ25" s="33"/>
      <c r="VR25" s="33"/>
      <c r="VS25" s="33"/>
      <c r="VT25" s="33"/>
      <c r="VU25" s="137"/>
      <c r="VV25" s="33"/>
      <c r="VW25" s="33"/>
      <c r="VX25" s="33"/>
      <c r="VY25" s="33"/>
      <c r="VZ25" s="33"/>
      <c r="WA25" s="74"/>
      <c r="WB25" s="33"/>
      <c r="WC25" s="33"/>
      <c r="WD25" s="33"/>
      <c r="WE25" s="33"/>
      <c r="WF25" s="33"/>
      <c r="WG25" s="34"/>
      <c r="WH25" s="32"/>
      <c r="WI25" s="64"/>
      <c r="WJ25" s="64"/>
      <c r="WK25" s="64"/>
      <c r="WL25" s="33"/>
      <c r="WM25" s="132"/>
      <c r="WN25" s="33"/>
      <c r="WO25" s="33"/>
      <c r="WP25" s="33"/>
      <c r="WQ25" s="33"/>
      <c r="WR25" s="33"/>
      <c r="WS25" s="137"/>
      <c r="WT25" s="33"/>
      <c r="WU25" s="33"/>
      <c r="WV25" s="33"/>
      <c r="WW25" s="33"/>
      <c r="WX25" s="33"/>
      <c r="WY25" s="74"/>
      <c r="WZ25" s="33"/>
      <c r="XA25" s="33"/>
      <c r="XB25" s="33"/>
      <c r="XC25" s="33"/>
      <c r="XD25" s="33"/>
      <c r="XE25" s="137"/>
      <c r="XF25" s="33"/>
      <c r="XG25" s="33"/>
      <c r="XH25" s="33"/>
      <c r="XI25" s="33"/>
      <c r="XJ25" s="33"/>
      <c r="XK25" s="74"/>
      <c r="XL25" s="64"/>
      <c r="XM25" s="64"/>
      <c r="XN25" s="64"/>
      <c r="XO25" s="64"/>
      <c r="XP25" s="33"/>
      <c r="XQ25" s="137"/>
      <c r="XR25" s="33"/>
      <c r="XS25" s="33"/>
      <c r="XT25" s="33"/>
      <c r="XU25" s="33"/>
      <c r="XV25" s="33"/>
      <c r="XW25" s="74"/>
      <c r="XX25" s="33"/>
      <c r="XY25" s="33"/>
      <c r="XZ25" s="33"/>
      <c r="YA25" s="33"/>
      <c r="YB25" s="33"/>
      <c r="YC25" s="137"/>
      <c r="YD25" s="33"/>
      <c r="YE25" s="33"/>
      <c r="YF25" s="33"/>
      <c r="YG25" s="33"/>
      <c r="YH25" s="33"/>
      <c r="YI25" s="74"/>
      <c r="YJ25" s="33"/>
      <c r="YK25" s="33"/>
      <c r="YL25" s="33"/>
      <c r="YM25" s="33"/>
      <c r="YN25" s="33"/>
      <c r="YO25" s="34"/>
      <c r="YP25" s="32"/>
      <c r="YQ25" s="64"/>
      <c r="YR25" s="64"/>
      <c r="YS25" s="64"/>
      <c r="YT25" s="33"/>
      <c r="YU25" s="132"/>
      <c r="YV25" s="33"/>
      <c r="YW25" s="33"/>
      <c r="YX25" s="33"/>
      <c r="YY25" s="33"/>
      <c r="YZ25" s="33"/>
      <c r="ZA25" s="137"/>
      <c r="ZB25" s="33"/>
      <c r="ZC25" s="33"/>
      <c r="ZD25" s="33"/>
      <c r="ZE25" s="33"/>
      <c r="ZF25" s="33"/>
      <c r="ZG25" s="74"/>
      <c r="ZH25" s="33"/>
      <c r="ZI25" s="33"/>
      <c r="ZJ25" s="33"/>
      <c r="ZK25" s="33"/>
      <c r="ZL25" s="33"/>
      <c r="ZM25" s="137"/>
      <c r="ZN25" s="33"/>
      <c r="ZO25" s="33"/>
      <c r="ZP25" s="33"/>
      <c r="ZQ25" s="33"/>
      <c r="ZR25" s="33"/>
      <c r="ZS25" s="74"/>
      <c r="ZT25" s="64"/>
      <c r="ZU25" s="64"/>
      <c r="ZV25" s="64"/>
      <c r="ZW25" s="64"/>
      <c r="ZX25" s="33"/>
      <c r="ZY25" s="137"/>
      <c r="ZZ25" s="33"/>
      <c r="AAA25" s="33"/>
      <c r="AAB25" s="33"/>
      <c r="AAC25" s="33"/>
      <c r="AAD25" s="33"/>
      <c r="AAE25" s="74"/>
      <c r="AAF25" s="33"/>
      <c r="AAG25" s="33"/>
      <c r="AAH25" s="33"/>
      <c r="AAI25" s="33"/>
      <c r="AAJ25" s="33"/>
      <c r="AAK25" s="137"/>
      <c r="AAL25" s="33"/>
      <c r="AAM25" s="33"/>
      <c r="AAN25" s="33"/>
      <c r="AAO25" s="33"/>
      <c r="AAP25" s="33"/>
      <c r="AAQ25" s="74"/>
      <c r="AAR25" s="33"/>
      <c r="AAS25" s="33"/>
      <c r="AAT25" s="33"/>
      <c r="AAU25" s="33"/>
      <c r="AAV25" s="33"/>
      <c r="AAW25" s="34"/>
      <c r="AAX25" s="32"/>
      <c r="AAY25" s="64"/>
      <c r="AAZ25" s="64"/>
      <c r="ABA25" s="64"/>
      <c r="ABB25" s="33"/>
      <c r="ABC25" s="132"/>
      <c r="ABD25" s="33"/>
      <c r="ABE25" s="33"/>
      <c r="ABF25" s="33"/>
      <c r="ABG25" s="33"/>
      <c r="ABH25" s="33"/>
      <c r="ABI25" s="137"/>
      <c r="ABJ25" s="33"/>
      <c r="ABK25" s="33"/>
      <c r="ABL25" s="33"/>
      <c r="ABM25" s="33"/>
      <c r="ABN25" s="33"/>
      <c r="ABO25" s="74"/>
      <c r="ABP25" s="33"/>
      <c r="ABQ25" s="33"/>
      <c r="ABR25" s="33"/>
      <c r="ABS25" s="33"/>
      <c r="ABT25" s="33"/>
      <c r="ABU25" s="137"/>
      <c r="ABV25" s="33"/>
      <c r="ABW25" s="33"/>
      <c r="ABX25" s="33"/>
      <c r="ABY25" s="33"/>
      <c r="ABZ25" s="33"/>
      <c r="ACA25" s="74"/>
      <c r="ACB25" s="64"/>
      <c r="ACC25" s="64"/>
      <c r="ACD25" s="64"/>
      <c r="ACE25" s="64"/>
      <c r="ACF25" s="33"/>
      <c r="ACG25" s="137"/>
      <c r="ACH25" s="33"/>
      <c r="ACI25" s="33"/>
      <c r="ACJ25" s="33"/>
      <c r="ACK25" s="33"/>
      <c r="ACL25" s="33"/>
      <c r="ACM25" s="74"/>
      <c r="ACN25" s="33"/>
      <c r="ACO25" s="33"/>
      <c r="ACP25" s="33"/>
      <c r="ACQ25" s="33"/>
      <c r="ACR25" s="33"/>
      <c r="ACS25" s="137"/>
      <c r="ACT25" s="33"/>
      <c r="ACU25" s="33"/>
      <c r="ACV25" s="33"/>
      <c r="ACW25" s="33"/>
      <c r="ACX25" s="33"/>
      <c r="ACY25" s="74"/>
      <c r="ACZ25" s="33"/>
      <c r="ADA25" s="33"/>
      <c r="ADB25" s="33"/>
      <c r="ADC25" s="33"/>
      <c r="ADD25" s="33"/>
      <c r="ADE25" s="34"/>
      <c r="ADF25" s="32"/>
      <c r="ADG25" s="64"/>
      <c r="ADH25" s="64"/>
      <c r="ADI25" s="64"/>
      <c r="ADJ25" s="33"/>
      <c r="ADK25" s="132"/>
      <c r="ADL25" s="33"/>
      <c r="ADM25" s="33"/>
      <c r="ADN25" s="33"/>
      <c r="ADO25" s="33"/>
      <c r="ADP25" s="33"/>
      <c r="ADQ25" s="137"/>
      <c r="ADR25" s="33"/>
      <c r="ADS25" s="33"/>
      <c r="ADT25" s="33"/>
      <c r="ADU25" s="33"/>
      <c r="ADV25" s="33"/>
      <c r="ADW25" s="74"/>
      <c r="ADX25" s="33"/>
      <c r="ADY25" s="33"/>
      <c r="ADZ25" s="33"/>
      <c r="AEA25" s="33"/>
      <c r="AEB25" s="33"/>
      <c r="AEC25" s="137"/>
      <c r="AED25" s="33"/>
      <c r="AEE25" s="33"/>
      <c r="AEF25" s="33"/>
      <c r="AEG25" s="33"/>
      <c r="AEH25" s="33"/>
      <c r="AEI25" s="74"/>
      <c r="AEJ25" s="64"/>
      <c r="AEK25" s="64"/>
      <c r="AEL25" s="64"/>
      <c r="AEM25" s="64"/>
      <c r="AEN25" s="33"/>
      <c r="AEO25" s="137"/>
      <c r="AEP25" s="33"/>
      <c r="AEQ25" s="33"/>
      <c r="AER25" s="33"/>
      <c r="AES25" s="33"/>
      <c r="AET25" s="33"/>
      <c r="AEU25" s="74"/>
      <c r="AEV25" s="33"/>
      <c r="AEW25" s="33"/>
      <c r="AEX25" s="33"/>
      <c r="AEY25" s="33"/>
      <c r="AEZ25" s="33"/>
      <c r="AFA25" s="137"/>
      <c r="AFB25" s="33"/>
      <c r="AFC25" s="33"/>
      <c r="AFD25" s="33"/>
      <c r="AFE25" s="33"/>
      <c r="AFF25" s="33"/>
      <c r="AFG25" s="74"/>
      <c r="AFH25" s="33"/>
      <c r="AFI25" s="33"/>
      <c r="AFJ25" s="33"/>
      <c r="AFK25" s="33"/>
      <c r="AFL25" s="33"/>
      <c r="AFM25" s="34"/>
      <c r="AFN25" s="90"/>
    </row>
    <row r="26" spans="1:846" ht="20.100000000000001" customHeight="1" x14ac:dyDescent="0.3">
      <c r="A26" s="100" t="s">
        <v>21</v>
      </c>
      <c r="B26" s="63" t="str">
        <f>IF(LEN(C37)=0,"",C37)</f>
        <v>Réalisation - Setup d'installation</v>
      </c>
      <c r="C26" s="219"/>
      <c r="D26" s="148" t="str">
        <f t="shared" si="0"/>
        <v>4h</v>
      </c>
      <c r="E26" s="35">
        <v>48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192"/>
      <c r="LM26" s="192"/>
      <c r="LN26" s="192"/>
      <c r="LO26" s="192"/>
      <c r="LP26" s="192"/>
      <c r="LQ26" s="193"/>
      <c r="LR26" s="192"/>
      <c r="LS26" s="192"/>
      <c r="LT26" s="192"/>
      <c r="LU26" s="192"/>
      <c r="LV26" s="192"/>
      <c r="LW26" s="194"/>
      <c r="LX26" s="195"/>
      <c r="LY26" s="195"/>
      <c r="LZ26" s="195"/>
      <c r="MA26" s="195"/>
      <c r="MB26" s="192"/>
      <c r="MC26" s="193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196"/>
      <c r="PK26" s="195"/>
      <c r="PL26" s="195"/>
      <c r="PM26" s="195"/>
      <c r="PN26" s="192"/>
      <c r="PO26" s="197"/>
      <c r="PP26" s="192"/>
      <c r="PQ26" s="192"/>
      <c r="PR26" s="192"/>
      <c r="PS26" s="192"/>
      <c r="PT26" s="192"/>
      <c r="PU26" s="193"/>
      <c r="PV26" s="192"/>
      <c r="PW26" s="192"/>
      <c r="PX26" s="192"/>
      <c r="PY26" s="192"/>
      <c r="PZ26" s="192"/>
      <c r="QA26" s="194"/>
      <c r="QB26" s="192"/>
      <c r="QC26" s="192"/>
      <c r="QD26" s="192"/>
      <c r="QE26" s="192"/>
      <c r="QF26" s="192"/>
      <c r="QG26" s="193"/>
      <c r="QH26" s="192"/>
      <c r="QI26" s="192"/>
      <c r="QJ26" s="192"/>
      <c r="QK26" s="192"/>
      <c r="QL26" s="192"/>
      <c r="QM26" s="194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36"/>
      <c r="RS26" s="65"/>
      <c r="RT26" s="65"/>
      <c r="RU26" s="65"/>
      <c r="RV26" s="37"/>
      <c r="RW26" s="133"/>
      <c r="RX26" s="37"/>
      <c r="RY26" s="37"/>
      <c r="RZ26" s="37"/>
      <c r="SA26" s="37"/>
      <c r="SB26" s="37"/>
      <c r="SC26" s="138"/>
      <c r="SD26" s="37"/>
      <c r="SE26" s="37"/>
      <c r="SF26" s="37"/>
      <c r="SG26" s="37"/>
      <c r="SH26" s="37"/>
      <c r="SI26" s="75"/>
      <c r="SJ26" s="37"/>
      <c r="SK26" s="37"/>
      <c r="SL26" s="37"/>
      <c r="SM26" s="37"/>
      <c r="SN26" s="37"/>
      <c r="SO26" s="138"/>
      <c r="SP26" s="37"/>
      <c r="SQ26" s="37"/>
      <c r="SR26" s="37"/>
      <c r="SS26" s="37"/>
      <c r="ST26" s="37"/>
      <c r="SU26" s="75"/>
      <c r="SV26" s="65"/>
      <c r="SW26" s="65"/>
      <c r="SX26" s="65"/>
      <c r="SY26" s="65"/>
      <c r="SZ26" s="37"/>
      <c r="TA26" s="138"/>
      <c r="TB26" s="37"/>
      <c r="TC26" s="37"/>
      <c r="TD26" s="37"/>
      <c r="TE26" s="37"/>
      <c r="TF26" s="37"/>
      <c r="TG26" s="75"/>
      <c r="TH26" s="37"/>
      <c r="TI26" s="37"/>
      <c r="TJ26" s="37"/>
      <c r="TK26" s="37"/>
      <c r="TL26" s="37"/>
      <c r="TM26" s="138"/>
      <c r="TN26" s="37"/>
      <c r="TO26" s="37"/>
      <c r="TP26" s="37"/>
      <c r="TQ26" s="37"/>
      <c r="TR26" s="37"/>
      <c r="TS26" s="75"/>
      <c r="TT26" s="37"/>
      <c r="TU26" s="37"/>
      <c r="TV26" s="37"/>
      <c r="TW26" s="37"/>
      <c r="TX26" s="37"/>
      <c r="TY26" s="38"/>
      <c r="TZ26" s="36"/>
      <c r="UA26" s="65"/>
      <c r="UB26" s="65"/>
      <c r="UC26" s="65"/>
      <c r="UD26" s="37"/>
      <c r="UE26" s="133"/>
      <c r="UF26" s="37"/>
      <c r="UG26" s="37"/>
      <c r="UH26" s="37"/>
      <c r="UI26" s="37"/>
      <c r="UJ26" s="37"/>
      <c r="UK26" s="138"/>
      <c r="UL26" s="37"/>
      <c r="UM26" s="37"/>
      <c r="UN26" s="37"/>
      <c r="UO26" s="37"/>
      <c r="UP26" s="37"/>
      <c r="UQ26" s="75"/>
      <c r="UR26" s="37"/>
      <c r="US26" s="37"/>
      <c r="UT26" s="37"/>
      <c r="UU26" s="37"/>
      <c r="UV26" s="37"/>
      <c r="UW26" s="138"/>
      <c r="UX26" s="37"/>
      <c r="UY26" s="37"/>
      <c r="UZ26" s="37"/>
      <c r="VA26" s="37"/>
      <c r="VB26" s="37"/>
      <c r="VC26" s="75"/>
      <c r="VD26" s="65"/>
      <c r="VE26" s="65"/>
      <c r="VF26" s="65"/>
      <c r="VG26" s="65"/>
      <c r="VH26" s="37"/>
      <c r="VI26" s="138"/>
      <c r="VJ26" s="37"/>
      <c r="VK26" s="37"/>
      <c r="VL26" s="37"/>
      <c r="VM26" s="37"/>
      <c r="VN26" s="37"/>
      <c r="VO26" s="75"/>
      <c r="VP26" s="37"/>
      <c r="VQ26" s="37"/>
      <c r="VR26" s="37"/>
      <c r="VS26" s="37"/>
      <c r="VT26" s="37"/>
      <c r="VU26" s="138"/>
      <c r="VV26" s="37"/>
      <c r="VW26" s="37"/>
      <c r="VX26" s="37"/>
      <c r="VY26" s="37"/>
      <c r="VZ26" s="37"/>
      <c r="WA26" s="75"/>
      <c r="WB26" s="37"/>
      <c r="WC26" s="37"/>
      <c r="WD26" s="37"/>
      <c r="WE26" s="37"/>
      <c r="WF26" s="37"/>
      <c r="WG26" s="38"/>
      <c r="WH26" s="36"/>
      <c r="WI26" s="65"/>
      <c r="WJ26" s="65"/>
      <c r="WK26" s="65"/>
      <c r="WL26" s="37"/>
      <c r="WM26" s="133"/>
      <c r="WN26" s="37"/>
      <c r="WO26" s="37"/>
      <c r="WP26" s="37"/>
      <c r="WQ26" s="37"/>
      <c r="WR26" s="37"/>
      <c r="WS26" s="138"/>
      <c r="WT26" s="37"/>
      <c r="WU26" s="37"/>
      <c r="WV26" s="37"/>
      <c r="WW26" s="37"/>
      <c r="WX26" s="37"/>
      <c r="WY26" s="75"/>
      <c r="WZ26" s="37"/>
      <c r="XA26" s="37"/>
      <c r="XB26" s="37"/>
      <c r="XC26" s="37"/>
      <c r="XD26" s="37"/>
      <c r="XE26" s="138"/>
      <c r="XF26" s="37"/>
      <c r="XG26" s="37"/>
      <c r="XH26" s="37"/>
      <c r="XI26" s="37"/>
      <c r="XJ26" s="37"/>
      <c r="XK26" s="75"/>
      <c r="XL26" s="65"/>
      <c r="XM26" s="65"/>
      <c r="XN26" s="65"/>
      <c r="XO26" s="65"/>
      <c r="XP26" s="37"/>
      <c r="XQ26" s="138"/>
      <c r="XR26" s="37"/>
      <c r="XS26" s="37"/>
      <c r="XT26" s="37"/>
      <c r="XU26" s="37"/>
      <c r="XV26" s="37"/>
      <c r="XW26" s="75"/>
      <c r="XX26" s="37"/>
      <c r="XY26" s="37"/>
      <c r="XZ26" s="37"/>
      <c r="YA26" s="37"/>
      <c r="YB26" s="37"/>
      <c r="YC26" s="138"/>
      <c r="YD26" s="37"/>
      <c r="YE26" s="37"/>
      <c r="YF26" s="37"/>
      <c r="YG26" s="37"/>
      <c r="YH26" s="37"/>
      <c r="YI26" s="75"/>
      <c r="YJ26" s="37"/>
      <c r="YK26" s="37"/>
      <c r="YL26" s="37"/>
      <c r="YM26" s="37"/>
      <c r="YN26" s="37"/>
      <c r="YO26" s="38"/>
      <c r="YP26" s="36"/>
      <c r="YQ26" s="65"/>
      <c r="YR26" s="65"/>
      <c r="YS26" s="65"/>
      <c r="YT26" s="37"/>
      <c r="YU26" s="133"/>
      <c r="YV26" s="37"/>
      <c r="YW26" s="37"/>
      <c r="YX26" s="37"/>
      <c r="YY26" s="37"/>
      <c r="YZ26" s="37"/>
      <c r="ZA26" s="138"/>
      <c r="ZB26" s="37"/>
      <c r="ZC26" s="37"/>
      <c r="ZD26" s="37"/>
      <c r="ZE26" s="37"/>
      <c r="ZF26" s="37"/>
      <c r="ZG26" s="75"/>
      <c r="ZH26" s="37"/>
      <c r="ZI26" s="37"/>
      <c r="ZJ26" s="37"/>
      <c r="ZK26" s="37"/>
      <c r="ZL26" s="37"/>
      <c r="ZM26" s="138"/>
      <c r="ZN26" s="37"/>
      <c r="ZO26" s="37"/>
      <c r="ZP26" s="37"/>
      <c r="ZQ26" s="37"/>
      <c r="ZR26" s="37"/>
      <c r="ZS26" s="75"/>
      <c r="ZT26" s="65"/>
      <c r="ZU26" s="65"/>
      <c r="ZV26" s="65"/>
      <c r="ZW26" s="65"/>
      <c r="ZX26" s="37"/>
      <c r="ZY26" s="138"/>
      <c r="ZZ26" s="37"/>
      <c r="AAA26" s="37"/>
      <c r="AAB26" s="37"/>
      <c r="AAC26" s="37"/>
      <c r="AAD26" s="37"/>
      <c r="AAE26" s="75"/>
      <c r="AAF26" s="37"/>
      <c r="AAG26" s="37"/>
      <c r="AAH26" s="37"/>
      <c r="AAI26" s="37"/>
      <c r="AAJ26" s="37"/>
      <c r="AAK26" s="138"/>
      <c r="AAL26" s="37"/>
      <c r="AAM26" s="37"/>
      <c r="AAN26" s="37"/>
      <c r="AAO26" s="37"/>
      <c r="AAP26" s="37"/>
      <c r="AAQ26" s="75"/>
      <c r="AAR26" s="37"/>
      <c r="AAS26" s="37"/>
      <c r="AAT26" s="37"/>
      <c r="AAU26" s="37"/>
      <c r="AAV26" s="37"/>
      <c r="AAW26" s="38"/>
      <c r="AAX26" s="36"/>
      <c r="AAY26" s="65"/>
      <c r="AAZ26" s="65"/>
      <c r="ABA26" s="65"/>
      <c r="ABB26" s="37"/>
      <c r="ABC26" s="133"/>
      <c r="ABD26" s="37"/>
      <c r="ABE26" s="37"/>
      <c r="ABF26" s="37"/>
      <c r="ABG26" s="37"/>
      <c r="ABH26" s="37"/>
      <c r="ABI26" s="138"/>
      <c r="ABJ26" s="37"/>
      <c r="ABK26" s="37"/>
      <c r="ABL26" s="37"/>
      <c r="ABM26" s="37"/>
      <c r="ABN26" s="37"/>
      <c r="ABO26" s="75"/>
      <c r="ABP26" s="37"/>
      <c r="ABQ26" s="37"/>
      <c r="ABR26" s="37"/>
      <c r="ABS26" s="37"/>
      <c r="ABT26" s="37"/>
      <c r="ABU26" s="138"/>
      <c r="ABV26" s="37"/>
      <c r="ABW26" s="37"/>
      <c r="ABX26" s="37"/>
      <c r="ABY26" s="37"/>
      <c r="ABZ26" s="37"/>
      <c r="ACA26" s="75"/>
      <c r="ACB26" s="65"/>
      <c r="ACC26" s="65"/>
      <c r="ACD26" s="65"/>
      <c r="ACE26" s="65"/>
      <c r="ACF26" s="37"/>
      <c r="ACG26" s="138"/>
      <c r="ACH26" s="37"/>
      <c r="ACI26" s="37"/>
      <c r="ACJ26" s="37"/>
      <c r="ACK26" s="37"/>
      <c r="ACL26" s="37"/>
      <c r="ACM26" s="75"/>
      <c r="ACN26" s="37"/>
      <c r="ACO26" s="37"/>
      <c r="ACP26" s="37"/>
      <c r="ACQ26" s="37"/>
      <c r="ACR26" s="37"/>
      <c r="ACS26" s="138"/>
      <c r="ACT26" s="37"/>
      <c r="ACU26" s="37"/>
      <c r="ACV26" s="37"/>
      <c r="ACW26" s="37"/>
      <c r="ACX26" s="37"/>
      <c r="ACY26" s="75"/>
      <c r="ACZ26" s="37"/>
      <c r="ADA26" s="37"/>
      <c r="ADB26" s="37"/>
      <c r="ADC26" s="37"/>
      <c r="ADD26" s="37"/>
      <c r="ADE26" s="38"/>
      <c r="ADF26" s="36"/>
      <c r="ADG26" s="65"/>
      <c r="ADH26" s="65"/>
      <c r="ADI26" s="65"/>
      <c r="ADJ26" s="37"/>
      <c r="ADK26" s="133"/>
      <c r="ADL26" s="37"/>
      <c r="ADM26" s="37"/>
      <c r="ADN26" s="37"/>
      <c r="ADO26" s="37"/>
      <c r="ADP26" s="37"/>
      <c r="ADQ26" s="138"/>
      <c r="ADR26" s="37"/>
      <c r="ADS26" s="37"/>
      <c r="ADT26" s="37"/>
      <c r="ADU26" s="37"/>
      <c r="ADV26" s="37"/>
      <c r="ADW26" s="75"/>
      <c r="ADX26" s="37"/>
      <c r="ADY26" s="37"/>
      <c r="ADZ26" s="37"/>
      <c r="AEA26" s="37"/>
      <c r="AEB26" s="37"/>
      <c r="AEC26" s="138"/>
      <c r="AED26" s="37"/>
      <c r="AEE26" s="37"/>
      <c r="AEF26" s="37"/>
      <c r="AEG26" s="37"/>
      <c r="AEH26" s="37"/>
      <c r="AEI26" s="75"/>
      <c r="AEJ26" s="65"/>
      <c r="AEK26" s="65"/>
      <c r="AEL26" s="65"/>
      <c r="AEM26" s="65"/>
      <c r="AEN26" s="37"/>
      <c r="AEO26" s="138"/>
      <c r="AEP26" s="37"/>
      <c r="AEQ26" s="37"/>
      <c r="AER26" s="37"/>
      <c r="AES26" s="37"/>
      <c r="AET26" s="37"/>
      <c r="AEU26" s="75"/>
      <c r="AEV26" s="37"/>
      <c r="AEW26" s="37"/>
      <c r="AEX26" s="37"/>
      <c r="AEY26" s="37"/>
      <c r="AEZ26" s="37"/>
      <c r="AFA26" s="138"/>
      <c r="AFB26" s="37"/>
      <c r="AFC26" s="37"/>
      <c r="AFD26" s="37"/>
      <c r="AFE26" s="37"/>
      <c r="AFF26" s="37"/>
      <c r="AFG26" s="75"/>
      <c r="AFH26" s="37"/>
      <c r="AFI26" s="37"/>
      <c r="AFJ26" s="37"/>
      <c r="AFK26" s="37"/>
      <c r="AFL26" s="37"/>
      <c r="AFM26" s="38"/>
      <c r="AFN26" s="90"/>
    </row>
    <row r="27" spans="1:846" ht="20.100000000000001" customHeight="1" x14ac:dyDescent="0.25">
      <c r="A27" s="100" t="s">
        <v>20</v>
      </c>
      <c r="B27" s="63" t="str">
        <f>IF(LEN(C39)=0,"",C39)</f>
        <v xml:space="preserve">Réalisation - Application </v>
      </c>
      <c r="C27" s="218" t="s">
        <v>49</v>
      </c>
      <c r="D27" s="146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40"/>
      <c r="RS27" s="66"/>
      <c r="RT27" s="66"/>
      <c r="RU27" s="66"/>
      <c r="RV27" s="41"/>
      <c r="RW27" s="134"/>
      <c r="RX27" s="41"/>
      <c r="RY27" s="41"/>
      <c r="RZ27" s="41"/>
      <c r="SA27" s="41"/>
      <c r="SB27" s="41"/>
      <c r="SC27" s="139"/>
      <c r="SD27" s="41"/>
      <c r="SE27" s="41"/>
      <c r="SF27" s="41"/>
      <c r="SG27" s="41"/>
      <c r="SH27" s="41"/>
      <c r="SI27" s="76"/>
      <c r="SJ27" s="41"/>
      <c r="SK27" s="41"/>
      <c r="SL27" s="41"/>
      <c r="SM27" s="41"/>
      <c r="SN27" s="41"/>
      <c r="SO27" s="139"/>
      <c r="SP27" s="41"/>
      <c r="SQ27" s="41"/>
      <c r="SR27" s="41"/>
      <c r="SS27" s="41"/>
      <c r="ST27" s="41"/>
      <c r="SU27" s="76"/>
      <c r="SV27" s="66"/>
      <c r="SW27" s="66"/>
      <c r="SX27" s="66"/>
      <c r="SY27" s="66"/>
      <c r="SZ27" s="41"/>
      <c r="TA27" s="139"/>
      <c r="TB27" s="41"/>
      <c r="TC27" s="41"/>
      <c r="TD27" s="41"/>
      <c r="TE27" s="41"/>
      <c r="TF27" s="41"/>
      <c r="TG27" s="76"/>
      <c r="TH27" s="41"/>
      <c r="TI27" s="41"/>
      <c r="TJ27" s="41"/>
      <c r="TK27" s="41"/>
      <c r="TL27" s="41"/>
      <c r="TM27" s="139"/>
      <c r="TN27" s="41"/>
      <c r="TO27" s="41"/>
      <c r="TP27" s="41"/>
      <c r="TQ27" s="41"/>
      <c r="TR27" s="41"/>
      <c r="TS27" s="76"/>
      <c r="TT27" s="41"/>
      <c r="TU27" s="41"/>
      <c r="TV27" s="41"/>
      <c r="TW27" s="41"/>
      <c r="TX27" s="41"/>
      <c r="TY27" s="42"/>
      <c r="TZ27" s="40"/>
      <c r="UA27" s="66"/>
      <c r="UB27" s="66"/>
      <c r="UC27" s="66"/>
      <c r="UD27" s="41"/>
      <c r="UE27" s="134"/>
      <c r="UF27" s="41"/>
      <c r="UG27" s="41"/>
      <c r="UH27" s="41"/>
      <c r="UI27" s="41"/>
      <c r="UJ27" s="41"/>
      <c r="UK27" s="139"/>
      <c r="UL27" s="41"/>
      <c r="UM27" s="41"/>
      <c r="UN27" s="41"/>
      <c r="UO27" s="41"/>
      <c r="UP27" s="41"/>
      <c r="UQ27" s="76"/>
      <c r="UR27" s="41"/>
      <c r="US27" s="41"/>
      <c r="UT27" s="41"/>
      <c r="UU27" s="41"/>
      <c r="UV27" s="41"/>
      <c r="UW27" s="139"/>
      <c r="UX27" s="41"/>
      <c r="UY27" s="41"/>
      <c r="UZ27" s="41"/>
      <c r="VA27" s="41"/>
      <c r="VB27" s="41"/>
      <c r="VC27" s="76"/>
      <c r="VD27" s="66"/>
      <c r="VE27" s="66"/>
      <c r="VF27" s="66"/>
      <c r="VG27" s="66"/>
      <c r="VH27" s="41"/>
      <c r="VI27" s="139"/>
      <c r="VJ27" s="41"/>
      <c r="VK27" s="41"/>
      <c r="VL27" s="41"/>
      <c r="VM27" s="41"/>
      <c r="VN27" s="41"/>
      <c r="VO27" s="76"/>
      <c r="VP27" s="41"/>
      <c r="VQ27" s="41"/>
      <c r="VR27" s="41"/>
      <c r="VS27" s="41"/>
      <c r="VT27" s="41"/>
      <c r="VU27" s="139"/>
      <c r="VV27" s="41"/>
      <c r="VW27" s="41"/>
      <c r="VX27" s="41"/>
      <c r="VY27" s="41"/>
      <c r="VZ27" s="41"/>
      <c r="WA27" s="76"/>
      <c r="WB27" s="41"/>
      <c r="WC27" s="41"/>
      <c r="WD27" s="41"/>
      <c r="WE27" s="41"/>
      <c r="WF27" s="41"/>
      <c r="WG27" s="42"/>
      <c r="WH27" s="40"/>
      <c r="WI27" s="66"/>
      <c r="WJ27" s="66"/>
      <c r="WK27" s="66"/>
      <c r="WL27" s="41"/>
      <c r="WM27" s="134"/>
      <c r="WN27" s="41"/>
      <c r="WO27" s="41"/>
      <c r="WP27" s="41"/>
      <c r="WQ27" s="41"/>
      <c r="WR27" s="41"/>
      <c r="WS27" s="139"/>
      <c r="WT27" s="41"/>
      <c r="WU27" s="41"/>
      <c r="WV27" s="41"/>
      <c r="WW27" s="41"/>
      <c r="WX27" s="41"/>
      <c r="WY27" s="76"/>
      <c r="WZ27" s="41"/>
      <c r="XA27" s="41"/>
      <c r="XB27" s="41"/>
      <c r="XC27" s="41"/>
      <c r="XD27" s="41"/>
      <c r="XE27" s="139"/>
      <c r="XF27" s="41"/>
      <c r="XG27" s="41"/>
      <c r="XH27" s="41"/>
      <c r="XI27" s="41"/>
      <c r="XJ27" s="41"/>
      <c r="XK27" s="76"/>
      <c r="XL27" s="66"/>
      <c r="XM27" s="66"/>
      <c r="XN27" s="66"/>
      <c r="XO27" s="66"/>
      <c r="XP27" s="41"/>
      <c r="XQ27" s="139"/>
      <c r="XR27" s="41"/>
      <c r="XS27" s="41"/>
      <c r="XT27" s="41"/>
      <c r="XU27" s="41"/>
      <c r="XV27" s="41"/>
      <c r="XW27" s="76"/>
      <c r="XX27" s="41"/>
      <c r="XY27" s="41"/>
      <c r="XZ27" s="41"/>
      <c r="YA27" s="41"/>
      <c r="YB27" s="41"/>
      <c r="YC27" s="139"/>
      <c r="YD27" s="41"/>
      <c r="YE27" s="41"/>
      <c r="YF27" s="41"/>
      <c r="YG27" s="41"/>
      <c r="YH27" s="41"/>
      <c r="YI27" s="76"/>
      <c r="YJ27" s="41"/>
      <c r="YK27" s="41"/>
      <c r="YL27" s="41"/>
      <c r="YM27" s="41"/>
      <c r="YN27" s="41"/>
      <c r="YO27" s="42"/>
      <c r="YP27" s="40"/>
      <c r="YQ27" s="66"/>
      <c r="YR27" s="66"/>
      <c r="YS27" s="66"/>
      <c r="YT27" s="41"/>
      <c r="YU27" s="134"/>
      <c r="YV27" s="41"/>
      <c r="YW27" s="41"/>
      <c r="YX27" s="41"/>
      <c r="YY27" s="41"/>
      <c r="YZ27" s="41"/>
      <c r="ZA27" s="139"/>
      <c r="ZB27" s="41"/>
      <c r="ZC27" s="41"/>
      <c r="ZD27" s="41"/>
      <c r="ZE27" s="41"/>
      <c r="ZF27" s="41"/>
      <c r="ZG27" s="76"/>
      <c r="ZH27" s="41"/>
      <c r="ZI27" s="41"/>
      <c r="ZJ27" s="41"/>
      <c r="ZK27" s="41"/>
      <c r="ZL27" s="41"/>
      <c r="ZM27" s="139"/>
      <c r="ZN27" s="41"/>
      <c r="ZO27" s="41"/>
      <c r="ZP27" s="41"/>
      <c r="ZQ27" s="41"/>
      <c r="ZR27" s="41"/>
      <c r="ZS27" s="76"/>
      <c r="ZT27" s="66"/>
      <c r="ZU27" s="66"/>
      <c r="ZV27" s="66"/>
      <c r="ZW27" s="66"/>
      <c r="ZX27" s="41"/>
      <c r="ZY27" s="139"/>
      <c r="ZZ27" s="41"/>
      <c r="AAA27" s="41"/>
      <c r="AAB27" s="41"/>
      <c r="AAC27" s="41"/>
      <c r="AAD27" s="41"/>
      <c r="AAE27" s="76"/>
      <c r="AAF27" s="41"/>
      <c r="AAG27" s="41"/>
      <c r="AAH27" s="41"/>
      <c r="AAI27" s="41"/>
      <c r="AAJ27" s="41"/>
      <c r="AAK27" s="139"/>
      <c r="AAL27" s="41"/>
      <c r="AAM27" s="41"/>
      <c r="AAN27" s="41"/>
      <c r="AAO27" s="41"/>
      <c r="AAP27" s="41"/>
      <c r="AAQ27" s="76"/>
      <c r="AAR27" s="41"/>
      <c r="AAS27" s="41"/>
      <c r="AAT27" s="41"/>
      <c r="AAU27" s="41"/>
      <c r="AAV27" s="41"/>
      <c r="AAW27" s="42"/>
      <c r="AAX27" s="40"/>
      <c r="AAY27" s="66"/>
      <c r="AAZ27" s="66"/>
      <c r="ABA27" s="66"/>
      <c r="ABB27" s="41"/>
      <c r="ABC27" s="134"/>
      <c r="ABD27" s="41"/>
      <c r="ABE27" s="41"/>
      <c r="ABF27" s="41"/>
      <c r="ABG27" s="41"/>
      <c r="ABH27" s="41"/>
      <c r="ABI27" s="139"/>
      <c r="ABJ27" s="41"/>
      <c r="ABK27" s="41"/>
      <c r="ABL27" s="41"/>
      <c r="ABM27" s="41"/>
      <c r="ABN27" s="41"/>
      <c r="ABO27" s="76"/>
      <c r="ABP27" s="41"/>
      <c r="ABQ27" s="41"/>
      <c r="ABR27" s="41"/>
      <c r="ABS27" s="41"/>
      <c r="ABT27" s="41"/>
      <c r="ABU27" s="139"/>
      <c r="ABV27" s="41"/>
      <c r="ABW27" s="41"/>
      <c r="ABX27" s="41"/>
      <c r="ABY27" s="41"/>
      <c r="ABZ27" s="41"/>
      <c r="ACA27" s="76"/>
      <c r="ACB27" s="66"/>
      <c r="ACC27" s="66"/>
      <c r="ACD27" s="66"/>
      <c r="ACE27" s="66"/>
      <c r="ACF27" s="41"/>
      <c r="ACG27" s="139"/>
      <c r="ACH27" s="41"/>
      <c r="ACI27" s="41"/>
      <c r="ACJ27" s="41"/>
      <c r="ACK27" s="41"/>
      <c r="ACL27" s="41"/>
      <c r="ACM27" s="76"/>
      <c r="ACN27" s="41"/>
      <c r="ACO27" s="41"/>
      <c r="ACP27" s="41"/>
      <c r="ACQ27" s="41"/>
      <c r="ACR27" s="41"/>
      <c r="ACS27" s="139"/>
      <c r="ACT27" s="41"/>
      <c r="ACU27" s="41"/>
      <c r="ACV27" s="41"/>
      <c r="ACW27" s="41"/>
      <c r="ACX27" s="41"/>
      <c r="ACY27" s="76"/>
      <c r="ACZ27" s="41"/>
      <c r="ADA27" s="41"/>
      <c r="ADB27" s="41"/>
      <c r="ADC27" s="41"/>
      <c r="ADD27" s="41"/>
      <c r="ADE27" s="42"/>
      <c r="ADF27" s="40"/>
      <c r="ADG27" s="66"/>
      <c r="ADH27" s="66"/>
      <c r="ADI27" s="66"/>
      <c r="ADJ27" s="41"/>
      <c r="ADK27" s="134"/>
      <c r="ADL27" s="41"/>
      <c r="ADM27" s="41"/>
      <c r="ADN27" s="41"/>
      <c r="ADO27" s="41"/>
      <c r="ADP27" s="41"/>
      <c r="ADQ27" s="139"/>
      <c r="ADR27" s="41"/>
      <c r="ADS27" s="41"/>
      <c r="ADT27" s="41"/>
      <c r="ADU27" s="41"/>
      <c r="ADV27" s="41"/>
      <c r="ADW27" s="76"/>
      <c r="ADX27" s="41"/>
      <c r="ADY27" s="41"/>
      <c r="ADZ27" s="41"/>
      <c r="AEA27" s="41"/>
      <c r="AEB27" s="41"/>
      <c r="AEC27" s="139"/>
      <c r="AED27" s="41"/>
      <c r="AEE27" s="41"/>
      <c r="AEF27" s="41"/>
      <c r="AEG27" s="41"/>
      <c r="AEH27" s="41"/>
      <c r="AEI27" s="76"/>
      <c r="AEJ27" s="66"/>
      <c r="AEK27" s="66"/>
      <c r="AEL27" s="66"/>
      <c r="AEM27" s="66"/>
      <c r="AEN27" s="41"/>
      <c r="AEO27" s="139"/>
      <c r="AEP27" s="41"/>
      <c r="AEQ27" s="41"/>
      <c r="AER27" s="41"/>
      <c r="AES27" s="41"/>
      <c r="AET27" s="41"/>
      <c r="AEU27" s="76"/>
      <c r="AEV27" s="41"/>
      <c r="AEW27" s="41"/>
      <c r="AEX27" s="41"/>
      <c r="AEY27" s="41"/>
      <c r="AEZ27" s="41"/>
      <c r="AFA27" s="139"/>
      <c r="AFB27" s="41"/>
      <c r="AFC27" s="41"/>
      <c r="AFD27" s="41"/>
      <c r="AFE27" s="41"/>
      <c r="AFF27" s="41"/>
      <c r="AFG27" s="76"/>
      <c r="AFH27" s="41"/>
      <c r="AFI27" s="41"/>
      <c r="AFJ27" s="41"/>
      <c r="AFK27" s="41"/>
      <c r="AFL27" s="41"/>
      <c r="AFM27" s="42"/>
      <c r="AFN27" s="90"/>
    </row>
    <row r="28" spans="1:846" ht="20.100000000000001" customHeight="1" x14ac:dyDescent="0.3">
      <c r="A28" s="100" t="s">
        <v>21</v>
      </c>
      <c r="B28" s="63" t="str">
        <f>IF(LEN(C41)=0,"",C41)</f>
        <v>Réalisation - Modification d'une tâche</v>
      </c>
      <c r="C28" s="219"/>
      <c r="D28" s="148" t="str">
        <f t="shared" si="0"/>
        <v>3h</v>
      </c>
      <c r="E28" s="27">
        <v>36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186"/>
      <c r="NC28" s="187"/>
      <c r="ND28" s="187"/>
      <c r="NE28" s="187"/>
      <c r="NF28" s="188"/>
      <c r="NG28" s="189"/>
      <c r="NH28" s="188"/>
      <c r="NI28" s="188"/>
      <c r="NJ28" s="188"/>
      <c r="NK28" s="188"/>
      <c r="NL28" s="188"/>
      <c r="NM28" s="190"/>
      <c r="NN28" s="188"/>
      <c r="NO28" s="188"/>
      <c r="NP28" s="188"/>
      <c r="NQ28" s="188"/>
      <c r="NR28" s="188"/>
      <c r="NS28" s="191"/>
      <c r="NT28" s="188"/>
      <c r="NU28" s="188"/>
      <c r="NV28" s="188"/>
      <c r="NW28" s="188"/>
      <c r="NX28" s="188"/>
      <c r="NY28" s="190"/>
      <c r="NZ28" s="188"/>
      <c r="OA28" s="188"/>
      <c r="OB28" s="188"/>
      <c r="OC28" s="188"/>
      <c r="OD28" s="188"/>
      <c r="OE28" s="191"/>
      <c r="OF28" s="187"/>
      <c r="OG28" s="187"/>
      <c r="OH28" s="187"/>
      <c r="OI28" s="187"/>
      <c r="OJ28" s="188"/>
      <c r="OK28" s="190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28"/>
      <c r="RS28" s="67"/>
      <c r="RT28" s="67"/>
      <c r="RU28" s="67"/>
      <c r="RV28" s="29"/>
      <c r="RW28" s="131"/>
      <c r="RX28" s="29"/>
      <c r="RY28" s="29"/>
      <c r="RZ28" s="29"/>
      <c r="SA28" s="29"/>
      <c r="SB28" s="29"/>
      <c r="SC28" s="136"/>
      <c r="SD28" s="29"/>
      <c r="SE28" s="29"/>
      <c r="SF28" s="29"/>
      <c r="SG28" s="29"/>
      <c r="SH28" s="29"/>
      <c r="SI28" s="73"/>
      <c r="SJ28" s="29"/>
      <c r="SK28" s="29"/>
      <c r="SL28" s="29"/>
      <c r="SM28" s="29"/>
      <c r="SN28" s="29"/>
      <c r="SO28" s="136"/>
      <c r="SP28" s="29"/>
      <c r="SQ28" s="29"/>
      <c r="SR28" s="29"/>
      <c r="SS28" s="29"/>
      <c r="ST28" s="29"/>
      <c r="SU28" s="73"/>
      <c r="SV28" s="67"/>
      <c r="SW28" s="67"/>
      <c r="SX28" s="67"/>
      <c r="SY28" s="67"/>
      <c r="SZ28" s="29"/>
      <c r="TA28" s="136"/>
      <c r="TB28" s="29"/>
      <c r="TC28" s="29"/>
      <c r="TD28" s="29"/>
      <c r="TE28" s="29"/>
      <c r="TF28" s="29"/>
      <c r="TG28" s="73"/>
      <c r="TH28" s="29"/>
      <c r="TI28" s="29"/>
      <c r="TJ28" s="29"/>
      <c r="TK28" s="29"/>
      <c r="TL28" s="29"/>
      <c r="TM28" s="136"/>
      <c r="TN28" s="29"/>
      <c r="TO28" s="29"/>
      <c r="TP28" s="29"/>
      <c r="TQ28" s="29"/>
      <c r="TR28" s="29"/>
      <c r="TS28" s="73"/>
      <c r="TT28" s="29"/>
      <c r="TU28" s="29"/>
      <c r="TV28" s="29"/>
      <c r="TW28" s="29"/>
      <c r="TX28" s="29"/>
      <c r="TY28" s="30"/>
      <c r="TZ28" s="28"/>
      <c r="UA28" s="67"/>
      <c r="UB28" s="67"/>
      <c r="UC28" s="67"/>
      <c r="UD28" s="29"/>
      <c r="UE28" s="131"/>
      <c r="UF28" s="29"/>
      <c r="UG28" s="29"/>
      <c r="UH28" s="29"/>
      <c r="UI28" s="29"/>
      <c r="UJ28" s="29"/>
      <c r="UK28" s="136"/>
      <c r="UL28" s="29"/>
      <c r="UM28" s="29"/>
      <c r="UN28" s="29"/>
      <c r="UO28" s="29"/>
      <c r="UP28" s="29"/>
      <c r="UQ28" s="73"/>
      <c r="UR28" s="29"/>
      <c r="US28" s="29"/>
      <c r="UT28" s="29"/>
      <c r="UU28" s="29"/>
      <c r="UV28" s="29"/>
      <c r="UW28" s="136"/>
      <c r="UX28" s="29"/>
      <c r="UY28" s="29"/>
      <c r="UZ28" s="29"/>
      <c r="VA28" s="29"/>
      <c r="VB28" s="29"/>
      <c r="VC28" s="73"/>
      <c r="VD28" s="67"/>
      <c r="VE28" s="67"/>
      <c r="VF28" s="67"/>
      <c r="VG28" s="67"/>
      <c r="VH28" s="29"/>
      <c r="VI28" s="136"/>
      <c r="VJ28" s="29"/>
      <c r="VK28" s="29"/>
      <c r="VL28" s="29"/>
      <c r="VM28" s="29"/>
      <c r="VN28" s="29"/>
      <c r="VO28" s="73"/>
      <c r="VP28" s="29"/>
      <c r="VQ28" s="29"/>
      <c r="VR28" s="29"/>
      <c r="VS28" s="29"/>
      <c r="VT28" s="29"/>
      <c r="VU28" s="136"/>
      <c r="VV28" s="29"/>
      <c r="VW28" s="29"/>
      <c r="VX28" s="29"/>
      <c r="VY28" s="29"/>
      <c r="VZ28" s="29"/>
      <c r="WA28" s="73"/>
      <c r="WB28" s="29"/>
      <c r="WC28" s="29"/>
      <c r="WD28" s="29"/>
      <c r="WE28" s="29"/>
      <c r="WF28" s="29"/>
      <c r="WG28" s="30"/>
      <c r="WH28" s="28"/>
      <c r="WI28" s="67"/>
      <c r="WJ28" s="67"/>
      <c r="WK28" s="67"/>
      <c r="WL28" s="29"/>
      <c r="WM28" s="131"/>
      <c r="WN28" s="29"/>
      <c r="WO28" s="29"/>
      <c r="WP28" s="29"/>
      <c r="WQ28" s="29"/>
      <c r="WR28" s="29"/>
      <c r="WS28" s="136"/>
      <c r="WT28" s="29"/>
      <c r="WU28" s="29"/>
      <c r="WV28" s="29"/>
      <c r="WW28" s="29"/>
      <c r="WX28" s="29"/>
      <c r="WY28" s="73"/>
      <c r="WZ28" s="29"/>
      <c r="XA28" s="29"/>
      <c r="XB28" s="29"/>
      <c r="XC28" s="29"/>
      <c r="XD28" s="29"/>
      <c r="XE28" s="136"/>
      <c r="XF28" s="29"/>
      <c r="XG28" s="29"/>
      <c r="XH28" s="29"/>
      <c r="XI28" s="29"/>
      <c r="XJ28" s="29"/>
      <c r="XK28" s="73"/>
      <c r="XL28" s="67"/>
      <c r="XM28" s="67"/>
      <c r="XN28" s="67"/>
      <c r="XO28" s="67"/>
      <c r="XP28" s="29"/>
      <c r="XQ28" s="136"/>
      <c r="XR28" s="29"/>
      <c r="XS28" s="29"/>
      <c r="XT28" s="29"/>
      <c r="XU28" s="29"/>
      <c r="XV28" s="29"/>
      <c r="XW28" s="73"/>
      <c r="XX28" s="29"/>
      <c r="XY28" s="29"/>
      <c r="XZ28" s="29"/>
      <c r="YA28" s="29"/>
      <c r="YB28" s="29"/>
      <c r="YC28" s="136"/>
      <c r="YD28" s="29"/>
      <c r="YE28" s="29"/>
      <c r="YF28" s="29"/>
      <c r="YG28" s="29"/>
      <c r="YH28" s="29"/>
      <c r="YI28" s="73"/>
      <c r="YJ28" s="29"/>
      <c r="YK28" s="29"/>
      <c r="YL28" s="29"/>
      <c r="YM28" s="29"/>
      <c r="YN28" s="29"/>
      <c r="YO28" s="30"/>
      <c r="YP28" s="28"/>
      <c r="YQ28" s="67"/>
      <c r="YR28" s="67"/>
      <c r="YS28" s="67"/>
      <c r="YT28" s="29"/>
      <c r="YU28" s="131"/>
      <c r="YV28" s="29"/>
      <c r="YW28" s="29"/>
      <c r="YX28" s="29"/>
      <c r="YY28" s="29"/>
      <c r="YZ28" s="29"/>
      <c r="ZA28" s="136"/>
      <c r="ZB28" s="29"/>
      <c r="ZC28" s="29"/>
      <c r="ZD28" s="29"/>
      <c r="ZE28" s="29"/>
      <c r="ZF28" s="29"/>
      <c r="ZG28" s="73"/>
      <c r="ZH28" s="29"/>
      <c r="ZI28" s="29"/>
      <c r="ZJ28" s="29"/>
      <c r="ZK28" s="29"/>
      <c r="ZL28" s="29"/>
      <c r="ZM28" s="136"/>
      <c r="ZN28" s="29"/>
      <c r="ZO28" s="29"/>
      <c r="ZP28" s="29"/>
      <c r="ZQ28" s="29"/>
      <c r="ZR28" s="29"/>
      <c r="ZS28" s="73"/>
      <c r="ZT28" s="67"/>
      <c r="ZU28" s="67"/>
      <c r="ZV28" s="67"/>
      <c r="ZW28" s="67"/>
      <c r="ZX28" s="29"/>
      <c r="ZY28" s="136"/>
      <c r="ZZ28" s="29"/>
      <c r="AAA28" s="29"/>
      <c r="AAB28" s="29"/>
      <c r="AAC28" s="29"/>
      <c r="AAD28" s="29"/>
      <c r="AAE28" s="73"/>
      <c r="AAF28" s="29"/>
      <c r="AAG28" s="29"/>
      <c r="AAH28" s="29"/>
      <c r="AAI28" s="29"/>
      <c r="AAJ28" s="29"/>
      <c r="AAK28" s="136"/>
      <c r="AAL28" s="29"/>
      <c r="AAM28" s="29"/>
      <c r="AAN28" s="29"/>
      <c r="AAO28" s="29"/>
      <c r="AAP28" s="29"/>
      <c r="AAQ28" s="73"/>
      <c r="AAR28" s="29"/>
      <c r="AAS28" s="29"/>
      <c r="AAT28" s="29"/>
      <c r="AAU28" s="29"/>
      <c r="AAV28" s="29"/>
      <c r="AAW28" s="30"/>
      <c r="AAX28" s="28"/>
      <c r="AAY28" s="67"/>
      <c r="AAZ28" s="67"/>
      <c r="ABA28" s="67"/>
      <c r="ABB28" s="29"/>
      <c r="ABC28" s="131"/>
      <c r="ABD28" s="29"/>
      <c r="ABE28" s="29"/>
      <c r="ABF28" s="29"/>
      <c r="ABG28" s="29"/>
      <c r="ABH28" s="29"/>
      <c r="ABI28" s="136"/>
      <c r="ABJ28" s="29"/>
      <c r="ABK28" s="29"/>
      <c r="ABL28" s="29"/>
      <c r="ABM28" s="29"/>
      <c r="ABN28" s="29"/>
      <c r="ABO28" s="73"/>
      <c r="ABP28" s="29"/>
      <c r="ABQ28" s="29"/>
      <c r="ABR28" s="29"/>
      <c r="ABS28" s="29"/>
      <c r="ABT28" s="29"/>
      <c r="ABU28" s="136"/>
      <c r="ABV28" s="29"/>
      <c r="ABW28" s="29"/>
      <c r="ABX28" s="29"/>
      <c r="ABY28" s="29"/>
      <c r="ABZ28" s="29"/>
      <c r="ACA28" s="73"/>
      <c r="ACB28" s="67"/>
      <c r="ACC28" s="67"/>
      <c r="ACD28" s="67"/>
      <c r="ACE28" s="67"/>
      <c r="ACF28" s="29"/>
      <c r="ACG28" s="136"/>
      <c r="ACH28" s="29"/>
      <c r="ACI28" s="29"/>
      <c r="ACJ28" s="29"/>
      <c r="ACK28" s="29"/>
      <c r="ACL28" s="29"/>
      <c r="ACM28" s="73"/>
      <c r="ACN28" s="29"/>
      <c r="ACO28" s="29"/>
      <c r="ACP28" s="29"/>
      <c r="ACQ28" s="29"/>
      <c r="ACR28" s="29"/>
      <c r="ACS28" s="136"/>
      <c r="ACT28" s="29"/>
      <c r="ACU28" s="29"/>
      <c r="ACV28" s="29"/>
      <c r="ACW28" s="29"/>
      <c r="ACX28" s="29"/>
      <c r="ACY28" s="73"/>
      <c r="ACZ28" s="29"/>
      <c r="ADA28" s="29"/>
      <c r="ADB28" s="29"/>
      <c r="ADC28" s="29"/>
      <c r="ADD28" s="29"/>
      <c r="ADE28" s="30"/>
      <c r="ADF28" s="28"/>
      <c r="ADG28" s="67"/>
      <c r="ADH28" s="67"/>
      <c r="ADI28" s="67"/>
      <c r="ADJ28" s="29"/>
      <c r="ADK28" s="131"/>
      <c r="ADL28" s="29"/>
      <c r="ADM28" s="29"/>
      <c r="ADN28" s="29"/>
      <c r="ADO28" s="29"/>
      <c r="ADP28" s="29"/>
      <c r="ADQ28" s="136"/>
      <c r="ADR28" s="29"/>
      <c r="ADS28" s="29"/>
      <c r="ADT28" s="29"/>
      <c r="ADU28" s="29"/>
      <c r="ADV28" s="29"/>
      <c r="ADW28" s="73"/>
      <c r="ADX28" s="29"/>
      <c r="ADY28" s="29"/>
      <c r="ADZ28" s="29"/>
      <c r="AEA28" s="29"/>
      <c r="AEB28" s="29"/>
      <c r="AEC28" s="136"/>
      <c r="AED28" s="29"/>
      <c r="AEE28" s="29"/>
      <c r="AEF28" s="29"/>
      <c r="AEG28" s="29"/>
      <c r="AEH28" s="29"/>
      <c r="AEI28" s="73"/>
      <c r="AEJ28" s="67"/>
      <c r="AEK28" s="67"/>
      <c r="AEL28" s="67"/>
      <c r="AEM28" s="67"/>
      <c r="AEN28" s="29"/>
      <c r="AEO28" s="136"/>
      <c r="AEP28" s="29"/>
      <c r="AEQ28" s="29"/>
      <c r="AER28" s="29"/>
      <c r="AES28" s="29"/>
      <c r="AET28" s="29"/>
      <c r="AEU28" s="73"/>
      <c r="AEV28" s="29"/>
      <c r="AEW28" s="29"/>
      <c r="AEX28" s="29"/>
      <c r="AEY28" s="29"/>
      <c r="AEZ28" s="29"/>
      <c r="AFA28" s="136"/>
      <c r="AFB28" s="29"/>
      <c r="AFC28" s="29"/>
      <c r="AFD28" s="29"/>
      <c r="AFE28" s="29"/>
      <c r="AFF28" s="29"/>
      <c r="AFG28" s="73"/>
      <c r="AFH28" s="29"/>
      <c r="AFI28" s="29"/>
      <c r="AFJ28" s="29"/>
      <c r="AFK28" s="29"/>
      <c r="AFL28" s="29"/>
      <c r="AFM28" s="30"/>
      <c r="AFN28" s="90"/>
    </row>
    <row r="29" spans="1:846" ht="20.100000000000001" customHeight="1" x14ac:dyDescent="0.25">
      <c r="A29" s="100" t="s">
        <v>20</v>
      </c>
      <c r="B29" s="63" t="str">
        <f>IF(LEN(C43)=0,"",C43)</f>
        <v>Réalisation - Exportation et importation d'un fichier de tâche</v>
      </c>
      <c r="C29" s="218" t="s">
        <v>50</v>
      </c>
      <c r="D29" s="146" t="str">
        <f t="shared" si="0"/>
        <v>3h</v>
      </c>
      <c r="E29" s="31">
        <v>36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168"/>
      <c r="PK29" s="169"/>
      <c r="PL29" s="169"/>
      <c r="PM29" s="169"/>
      <c r="PN29" s="170"/>
      <c r="PO29" s="171"/>
      <c r="PP29" s="170"/>
      <c r="PQ29" s="170"/>
      <c r="PR29" s="170"/>
      <c r="PS29" s="170"/>
      <c r="PT29" s="170"/>
      <c r="PU29" s="172"/>
      <c r="PV29" s="170"/>
      <c r="PW29" s="170"/>
      <c r="PX29" s="170"/>
      <c r="PY29" s="170"/>
      <c r="PZ29" s="170"/>
      <c r="QA29" s="173"/>
      <c r="QB29" s="170"/>
      <c r="QC29" s="170"/>
      <c r="QD29" s="170"/>
      <c r="QE29" s="170"/>
      <c r="QF29" s="170"/>
      <c r="QG29" s="172"/>
      <c r="QH29" s="170"/>
      <c r="QI29" s="170"/>
      <c r="QJ29" s="170"/>
      <c r="QK29" s="170"/>
      <c r="QL29" s="170"/>
      <c r="QM29" s="173"/>
      <c r="QN29" s="169"/>
      <c r="QO29" s="169"/>
      <c r="QP29" s="169"/>
      <c r="QQ29" s="169"/>
      <c r="QR29" s="170"/>
      <c r="QS29" s="172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32"/>
      <c r="RS29" s="64"/>
      <c r="RT29" s="64"/>
      <c r="RU29" s="64"/>
      <c r="RV29" s="33"/>
      <c r="RW29" s="132"/>
      <c r="RX29" s="33"/>
      <c r="RY29" s="33"/>
      <c r="RZ29" s="33"/>
      <c r="SA29" s="33"/>
      <c r="SB29" s="33"/>
      <c r="SC29" s="137"/>
      <c r="SD29" s="33"/>
      <c r="SE29" s="33"/>
      <c r="SF29" s="33"/>
      <c r="SG29" s="33"/>
      <c r="SH29" s="33"/>
      <c r="SI29" s="74"/>
      <c r="SJ29" s="33"/>
      <c r="SK29" s="33"/>
      <c r="SL29" s="33"/>
      <c r="SM29" s="33"/>
      <c r="SN29" s="33"/>
      <c r="SO29" s="137"/>
      <c r="SP29" s="33"/>
      <c r="SQ29" s="33"/>
      <c r="SR29" s="33"/>
      <c r="SS29" s="33"/>
      <c r="ST29" s="33"/>
      <c r="SU29" s="74"/>
      <c r="SV29" s="64"/>
      <c r="SW29" s="64"/>
      <c r="SX29" s="64"/>
      <c r="SY29" s="64"/>
      <c r="SZ29" s="33"/>
      <c r="TA29" s="137"/>
      <c r="TB29" s="33"/>
      <c r="TC29" s="33"/>
      <c r="TD29" s="33"/>
      <c r="TE29" s="33"/>
      <c r="TF29" s="33"/>
      <c r="TG29" s="74"/>
      <c r="TH29" s="33"/>
      <c r="TI29" s="33"/>
      <c r="TJ29" s="33"/>
      <c r="TK29" s="33"/>
      <c r="TL29" s="33"/>
      <c r="TM29" s="137"/>
      <c r="TN29" s="33"/>
      <c r="TO29" s="33"/>
      <c r="TP29" s="33"/>
      <c r="TQ29" s="33"/>
      <c r="TR29" s="33"/>
      <c r="TS29" s="74"/>
      <c r="TT29" s="33"/>
      <c r="TU29" s="33"/>
      <c r="TV29" s="33"/>
      <c r="TW29" s="33"/>
      <c r="TX29" s="33"/>
      <c r="TY29" s="34"/>
      <c r="TZ29" s="32"/>
      <c r="UA29" s="64"/>
      <c r="UB29" s="64"/>
      <c r="UC29" s="64"/>
      <c r="UD29" s="33"/>
      <c r="UE29" s="132"/>
      <c r="UF29" s="33"/>
      <c r="UG29" s="33"/>
      <c r="UH29" s="33"/>
      <c r="UI29" s="33"/>
      <c r="UJ29" s="33"/>
      <c r="UK29" s="137"/>
      <c r="UL29" s="33"/>
      <c r="UM29" s="33"/>
      <c r="UN29" s="33"/>
      <c r="UO29" s="33"/>
      <c r="UP29" s="33"/>
      <c r="UQ29" s="74"/>
      <c r="UR29" s="33"/>
      <c r="US29" s="33"/>
      <c r="UT29" s="33"/>
      <c r="UU29" s="33"/>
      <c r="UV29" s="33"/>
      <c r="UW29" s="137"/>
      <c r="UX29" s="33"/>
      <c r="UY29" s="33"/>
      <c r="UZ29" s="33"/>
      <c r="VA29" s="33"/>
      <c r="VB29" s="33"/>
      <c r="VC29" s="74"/>
      <c r="VD29" s="64"/>
      <c r="VE29" s="64"/>
      <c r="VF29" s="64"/>
      <c r="VG29" s="64"/>
      <c r="VH29" s="33"/>
      <c r="VI29" s="137"/>
      <c r="VJ29" s="33"/>
      <c r="VK29" s="33"/>
      <c r="VL29" s="33"/>
      <c r="VM29" s="33"/>
      <c r="VN29" s="33"/>
      <c r="VO29" s="74"/>
      <c r="VP29" s="33"/>
      <c r="VQ29" s="33"/>
      <c r="VR29" s="33"/>
      <c r="VS29" s="33"/>
      <c r="VT29" s="33"/>
      <c r="VU29" s="137"/>
      <c r="VV29" s="33"/>
      <c r="VW29" s="33"/>
      <c r="VX29" s="33"/>
      <c r="VY29" s="33"/>
      <c r="VZ29" s="33"/>
      <c r="WA29" s="74"/>
      <c r="WB29" s="33"/>
      <c r="WC29" s="33"/>
      <c r="WD29" s="33"/>
      <c r="WE29" s="33"/>
      <c r="WF29" s="33"/>
      <c r="WG29" s="34"/>
      <c r="WH29" s="32"/>
      <c r="WI29" s="64"/>
      <c r="WJ29" s="64"/>
      <c r="WK29" s="64"/>
      <c r="WL29" s="33"/>
      <c r="WM29" s="132"/>
      <c r="WN29" s="33"/>
      <c r="WO29" s="33"/>
      <c r="WP29" s="33"/>
      <c r="WQ29" s="33"/>
      <c r="WR29" s="33"/>
      <c r="WS29" s="137"/>
      <c r="WT29" s="33"/>
      <c r="WU29" s="33"/>
      <c r="WV29" s="33"/>
      <c r="WW29" s="33"/>
      <c r="WX29" s="33"/>
      <c r="WY29" s="74"/>
      <c r="WZ29" s="33"/>
      <c r="XA29" s="33"/>
      <c r="XB29" s="33"/>
      <c r="XC29" s="33"/>
      <c r="XD29" s="33"/>
      <c r="XE29" s="137"/>
      <c r="XF29" s="33"/>
      <c r="XG29" s="33"/>
      <c r="XH29" s="33"/>
      <c r="XI29" s="33"/>
      <c r="XJ29" s="33"/>
      <c r="XK29" s="74"/>
      <c r="XL29" s="64"/>
      <c r="XM29" s="64"/>
      <c r="XN29" s="64"/>
      <c r="XO29" s="64"/>
      <c r="XP29" s="33"/>
      <c r="XQ29" s="137"/>
      <c r="XR29" s="33"/>
      <c r="XS29" s="33"/>
      <c r="XT29" s="33"/>
      <c r="XU29" s="33"/>
      <c r="XV29" s="33"/>
      <c r="XW29" s="74"/>
      <c r="XX29" s="33"/>
      <c r="XY29" s="33"/>
      <c r="XZ29" s="33"/>
      <c r="YA29" s="33"/>
      <c r="YB29" s="33"/>
      <c r="YC29" s="137"/>
      <c r="YD29" s="33"/>
      <c r="YE29" s="33"/>
      <c r="YF29" s="33"/>
      <c r="YG29" s="33"/>
      <c r="YH29" s="33"/>
      <c r="YI29" s="74"/>
      <c r="YJ29" s="33"/>
      <c r="YK29" s="33"/>
      <c r="YL29" s="33"/>
      <c r="YM29" s="33"/>
      <c r="YN29" s="33"/>
      <c r="YO29" s="34"/>
      <c r="YP29" s="32"/>
      <c r="YQ29" s="64"/>
      <c r="YR29" s="64"/>
      <c r="YS29" s="64"/>
      <c r="YT29" s="33"/>
      <c r="YU29" s="132"/>
      <c r="YV29" s="33"/>
      <c r="YW29" s="33"/>
      <c r="YX29" s="33"/>
      <c r="YY29" s="33"/>
      <c r="YZ29" s="33"/>
      <c r="ZA29" s="137"/>
      <c r="ZB29" s="33"/>
      <c r="ZC29" s="33"/>
      <c r="ZD29" s="33"/>
      <c r="ZE29" s="33"/>
      <c r="ZF29" s="33"/>
      <c r="ZG29" s="74"/>
      <c r="ZH29" s="33"/>
      <c r="ZI29" s="33"/>
      <c r="ZJ29" s="33"/>
      <c r="ZK29" s="33"/>
      <c r="ZL29" s="33"/>
      <c r="ZM29" s="137"/>
      <c r="ZN29" s="33"/>
      <c r="ZO29" s="33"/>
      <c r="ZP29" s="33"/>
      <c r="ZQ29" s="33"/>
      <c r="ZR29" s="33"/>
      <c r="ZS29" s="74"/>
      <c r="ZT29" s="64"/>
      <c r="ZU29" s="64"/>
      <c r="ZV29" s="64"/>
      <c r="ZW29" s="64"/>
      <c r="ZX29" s="33"/>
      <c r="ZY29" s="137"/>
      <c r="ZZ29" s="33"/>
      <c r="AAA29" s="33"/>
      <c r="AAB29" s="33"/>
      <c r="AAC29" s="33"/>
      <c r="AAD29" s="33"/>
      <c r="AAE29" s="74"/>
      <c r="AAF29" s="33"/>
      <c r="AAG29" s="33"/>
      <c r="AAH29" s="33"/>
      <c r="AAI29" s="33"/>
      <c r="AAJ29" s="33"/>
      <c r="AAK29" s="137"/>
      <c r="AAL29" s="33"/>
      <c r="AAM29" s="33"/>
      <c r="AAN29" s="33"/>
      <c r="AAO29" s="33"/>
      <c r="AAP29" s="33"/>
      <c r="AAQ29" s="74"/>
      <c r="AAR29" s="33"/>
      <c r="AAS29" s="33"/>
      <c r="AAT29" s="33"/>
      <c r="AAU29" s="33"/>
      <c r="AAV29" s="33"/>
      <c r="AAW29" s="34"/>
      <c r="AAX29" s="32"/>
      <c r="AAY29" s="64"/>
      <c r="AAZ29" s="64"/>
      <c r="ABA29" s="64"/>
      <c r="ABB29" s="33"/>
      <c r="ABC29" s="132"/>
      <c r="ABD29" s="33"/>
      <c r="ABE29" s="33"/>
      <c r="ABF29" s="33"/>
      <c r="ABG29" s="33"/>
      <c r="ABH29" s="33"/>
      <c r="ABI29" s="137"/>
      <c r="ABJ29" s="33"/>
      <c r="ABK29" s="33"/>
      <c r="ABL29" s="33"/>
      <c r="ABM29" s="33"/>
      <c r="ABN29" s="33"/>
      <c r="ABO29" s="74"/>
      <c r="ABP29" s="33"/>
      <c r="ABQ29" s="33"/>
      <c r="ABR29" s="33"/>
      <c r="ABS29" s="33"/>
      <c r="ABT29" s="33"/>
      <c r="ABU29" s="137"/>
      <c r="ABV29" s="33"/>
      <c r="ABW29" s="33"/>
      <c r="ABX29" s="33"/>
      <c r="ABY29" s="33"/>
      <c r="ABZ29" s="33"/>
      <c r="ACA29" s="74"/>
      <c r="ACB29" s="64"/>
      <c r="ACC29" s="64"/>
      <c r="ACD29" s="64"/>
      <c r="ACE29" s="64"/>
      <c r="ACF29" s="33"/>
      <c r="ACG29" s="137"/>
      <c r="ACH29" s="33"/>
      <c r="ACI29" s="33"/>
      <c r="ACJ29" s="33"/>
      <c r="ACK29" s="33"/>
      <c r="ACL29" s="33"/>
      <c r="ACM29" s="74"/>
      <c r="ACN29" s="33"/>
      <c r="ACO29" s="33"/>
      <c r="ACP29" s="33"/>
      <c r="ACQ29" s="33"/>
      <c r="ACR29" s="33"/>
      <c r="ACS29" s="137"/>
      <c r="ACT29" s="33"/>
      <c r="ACU29" s="33"/>
      <c r="ACV29" s="33"/>
      <c r="ACW29" s="33"/>
      <c r="ACX29" s="33"/>
      <c r="ACY29" s="74"/>
      <c r="ACZ29" s="33"/>
      <c r="ADA29" s="33"/>
      <c r="ADB29" s="33"/>
      <c r="ADC29" s="33"/>
      <c r="ADD29" s="33"/>
      <c r="ADE29" s="34"/>
      <c r="ADF29" s="32"/>
      <c r="ADG29" s="64"/>
      <c r="ADH29" s="64"/>
      <c r="ADI29" s="64"/>
      <c r="ADJ29" s="33"/>
      <c r="ADK29" s="132"/>
      <c r="ADL29" s="33"/>
      <c r="ADM29" s="33"/>
      <c r="ADN29" s="33"/>
      <c r="ADO29" s="33"/>
      <c r="ADP29" s="33"/>
      <c r="ADQ29" s="137"/>
      <c r="ADR29" s="33"/>
      <c r="ADS29" s="33"/>
      <c r="ADT29" s="33"/>
      <c r="ADU29" s="33"/>
      <c r="ADV29" s="33"/>
      <c r="ADW29" s="74"/>
      <c r="ADX29" s="33"/>
      <c r="ADY29" s="33"/>
      <c r="ADZ29" s="33"/>
      <c r="AEA29" s="33"/>
      <c r="AEB29" s="33"/>
      <c r="AEC29" s="137"/>
      <c r="AED29" s="33"/>
      <c r="AEE29" s="33"/>
      <c r="AEF29" s="33"/>
      <c r="AEG29" s="33"/>
      <c r="AEH29" s="33"/>
      <c r="AEI29" s="74"/>
      <c r="AEJ29" s="64"/>
      <c r="AEK29" s="64"/>
      <c r="AEL29" s="64"/>
      <c r="AEM29" s="64"/>
      <c r="AEN29" s="33"/>
      <c r="AEO29" s="137"/>
      <c r="AEP29" s="33"/>
      <c r="AEQ29" s="33"/>
      <c r="AER29" s="33"/>
      <c r="AES29" s="33"/>
      <c r="AET29" s="33"/>
      <c r="AEU29" s="74"/>
      <c r="AEV29" s="33"/>
      <c r="AEW29" s="33"/>
      <c r="AEX29" s="33"/>
      <c r="AEY29" s="33"/>
      <c r="AEZ29" s="33"/>
      <c r="AFA29" s="137"/>
      <c r="AFB29" s="33"/>
      <c r="AFC29" s="33"/>
      <c r="AFD29" s="33"/>
      <c r="AFE29" s="33"/>
      <c r="AFF29" s="33"/>
      <c r="AFG29" s="74"/>
      <c r="AFH29" s="33"/>
      <c r="AFI29" s="33"/>
      <c r="AFJ29" s="33"/>
      <c r="AFK29" s="33"/>
      <c r="AFL29" s="33"/>
      <c r="AFM29" s="34"/>
      <c r="AFN29" s="90"/>
    </row>
    <row r="30" spans="1:846" ht="20.100000000000001" customHeight="1" x14ac:dyDescent="0.3">
      <c r="A30" s="100" t="s">
        <v>21</v>
      </c>
      <c r="B30" s="63" t="str">
        <f>IF(LEN(C45)=0,"",C45)</f>
        <v/>
      </c>
      <c r="C30" s="219"/>
      <c r="D30" s="148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36"/>
      <c r="RS30" s="65"/>
      <c r="RT30" s="65"/>
      <c r="RU30" s="65"/>
      <c r="RV30" s="37"/>
      <c r="RW30" s="133"/>
      <c r="RX30" s="37"/>
      <c r="RY30" s="37"/>
      <c r="RZ30" s="37"/>
      <c r="SA30" s="37"/>
      <c r="SB30" s="37"/>
      <c r="SC30" s="138"/>
      <c r="SD30" s="37"/>
      <c r="SE30" s="37"/>
      <c r="SF30" s="37"/>
      <c r="SG30" s="37"/>
      <c r="SH30" s="37"/>
      <c r="SI30" s="75"/>
      <c r="SJ30" s="37"/>
      <c r="SK30" s="37"/>
      <c r="SL30" s="37"/>
      <c r="SM30" s="37"/>
      <c r="SN30" s="37"/>
      <c r="SO30" s="138"/>
      <c r="SP30" s="37"/>
      <c r="SQ30" s="37"/>
      <c r="SR30" s="37"/>
      <c r="SS30" s="37"/>
      <c r="ST30" s="37"/>
      <c r="SU30" s="75"/>
      <c r="SV30" s="65"/>
      <c r="SW30" s="65"/>
      <c r="SX30" s="65"/>
      <c r="SY30" s="65"/>
      <c r="SZ30" s="37"/>
      <c r="TA30" s="138"/>
      <c r="TB30" s="37"/>
      <c r="TC30" s="37"/>
      <c r="TD30" s="37"/>
      <c r="TE30" s="37"/>
      <c r="TF30" s="37"/>
      <c r="TG30" s="75"/>
      <c r="TH30" s="37"/>
      <c r="TI30" s="37"/>
      <c r="TJ30" s="37"/>
      <c r="TK30" s="37"/>
      <c r="TL30" s="37"/>
      <c r="TM30" s="138"/>
      <c r="TN30" s="37"/>
      <c r="TO30" s="37"/>
      <c r="TP30" s="37"/>
      <c r="TQ30" s="37"/>
      <c r="TR30" s="37"/>
      <c r="TS30" s="75"/>
      <c r="TT30" s="37"/>
      <c r="TU30" s="37"/>
      <c r="TV30" s="37"/>
      <c r="TW30" s="37"/>
      <c r="TX30" s="37"/>
      <c r="TY30" s="38"/>
      <c r="TZ30" s="36"/>
      <c r="UA30" s="65"/>
      <c r="UB30" s="65"/>
      <c r="UC30" s="65"/>
      <c r="UD30" s="37"/>
      <c r="UE30" s="133"/>
      <c r="UF30" s="37"/>
      <c r="UG30" s="37"/>
      <c r="UH30" s="37"/>
      <c r="UI30" s="37"/>
      <c r="UJ30" s="37"/>
      <c r="UK30" s="138"/>
      <c r="UL30" s="37"/>
      <c r="UM30" s="37"/>
      <c r="UN30" s="37"/>
      <c r="UO30" s="37"/>
      <c r="UP30" s="37"/>
      <c r="UQ30" s="75"/>
      <c r="UR30" s="37"/>
      <c r="US30" s="37"/>
      <c r="UT30" s="37"/>
      <c r="UU30" s="37"/>
      <c r="UV30" s="37"/>
      <c r="UW30" s="138"/>
      <c r="UX30" s="37"/>
      <c r="UY30" s="37"/>
      <c r="UZ30" s="37"/>
      <c r="VA30" s="37"/>
      <c r="VB30" s="37"/>
      <c r="VC30" s="75"/>
      <c r="VD30" s="65"/>
      <c r="VE30" s="65"/>
      <c r="VF30" s="65"/>
      <c r="VG30" s="65"/>
      <c r="VH30" s="37"/>
      <c r="VI30" s="138"/>
      <c r="VJ30" s="37"/>
      <c r="VK30" s="37"/>
      <c r="VL30" s="37"/>
      <c r="VM30" s="37"/>
      <c r="VN30" s="37"/>
      <c r="VO30" s="75"/>
      <c r="VP30" s="37"/>
      <c r="VQ30" s="37"/>
      <c r="VR30" s="37"/>
      <c r="VS30" s="37"/>
      <c r="VT30" s="37"/>
      <c r="VU30" s="138"/>
      <c r="VV30" s="37"/>
      <c r="VW30" s="37"/>
      <c r="VX30" s="37"/>
      <c r="VY30" s="37"/>
      <c r="VZ30" s="37"/>
      <c r="WA30" s="75"/>
      <c r="WB30" s="37"/>
      <c r="WC30" s="37"/>
      <c r="WD30" s="37"/>
      <c r="WE30" s="37"/>
      <c r="WF30" s="37"/>
      <c r="WG30" s="38"/>
      <c r="WH30" s="36"/>
      <c r="WI30" s="65"/>
      <c r="WJ30" s="65"/>
      <c r="WK30" s="65"/>
      <c r="WL30" s="37"/>
      <c r="WM30" s="133"/>
      <c r="WN30" s="37"/>
      <c r="WO30" s="37"/>
      <c r="WP30" s="37"/>
      <c r="WQ30" s="37"/>
      <c r="WR30" s="37"/>
      <c r="WS30" s="138"/>
      <c r="WT30" s="37"/>
      <c r="WU30" s="37"/>
      <c r="WV30" s="37"/>
      <c r="WW30" s="37"/>
      <c r="WX30" s="37"/>
      <c r="WY30" s="75"/>
      <c r="WZ30" s="37"/>
      <c r="XA30" s="37"/>
      <c r="XB30" s="37"/>
      <c r="XC30" s="37"/>
      <c r="XD30" s="37"/>
      <c r="XE30" s="138"/>
      <c r="XF30" s="37"/>
      <c r="XG30" s="37"/>
      <c r="XH30" s="37"/>
      <c r="XI30" s="37"/>
      <c r="XJ30" s="37"/>
      <c r="XK30" s="75"/>
      <c r="XL30" s="65"/>
      <c r="XM30" s="65"/>
      <c r="XN30" s="65"/>
      <c r="XO30" s="65"/>
      <c r="XP30" s="37"/>
      <c r="XQ30" s="138"/>
      <c r="XR30" s="37"/>
      <c r="XS30" s="37"/>
      <c r="XT30" s="37"/>
      <c r="XU30" s="37"/>
      <c r="XV30" s="37"/>
      <c r="XW30" s="75"/>
      <c r="XX30" s="37"/>
      <c r="XY30" s="37"/>
      <c r="XZ30" s="37"/>
      <c r="YA30" s="37"/>
      <c r="YB30" s="37"/>
      <c r="YC30" s="138"/>
      <c r="YD30" s="37"/>
      <c r="YE30" s="37"/>
      <c r="YF30" s="37"/>
      <c r="YG30" s="37"/>
      <c r="YH30" s="37"/>
      <c r="YI30" s="75"/>
      <c r="YJ30" s="37"/>
      <c r="YK30" s="37"/>
      <c r="YL30" s="37"/>
      <c r="YM30" s="37"/>
      <c r="YN30" s="37"/>
      <c r="YO30" s="38"/>
      <c r="YP30" s="36"/>
      <c r="YQ30" s="65"/>
      <c r="YR30" s="65"/>
      <c r="YS30" s="65"/>
      <c r="YT30" s="37"/>
      <c r="YU30" s="133"/>
      <c r="YV30" s="37"/>
      <c r="YW30" s="37"/>
      <c r="YX30" s="37"/>
      <c r="YY30" s="37"/>
      <c r="YZ30" s="37"/>
      <c r="ZA30" s="138"/>
      <c r="ZB30" s="37"/>
      <c r="ZC30" s="37"/>
      <c r="ZD30" s="37"/>
      <c r="ZE30" s="37"/>
      <c r="ZF30" s="37"/>
      <c r="ZG30" s="75"/>
      <c r="ZH30" s="37"/>
      <c r="ZI30" s="37"/>
      <c r="ZJ30" s="37"/>
      <c r="ZK30" s="37"/>
      <c r="ZL30" s="37"/>
      <c r="ZM30" s="138"/>
      <c r="ZN30" s="37"/>
      <c r="ZO30" s="37"/>
      <c r="ZP30" s="37"/>
      <c r="ZQ30" s="37"/>
      <c r="ZR30" s="37"/>
      <c r="ZS30" s="75"/>
      <c r="ZT30" s="65"/>
      <c r="ZU30" s="65"/>
      <c r="ZV30" s="65"/>
      <c r="ZW30" s="65"/>
      <c r="ZX30" s="37"/>
      <c r="ZY30" s="138"/>
      <c r="ZZ30" s="37"/>
      <c r="AAA30" s="37"/>
      <c r="AAB30" s="37"/>
      <c r="AAC30" s="37"/>
      <c r="AAD30" s="37"/>
      <c r="AAE30" s="75"/>
      <c r="AAF30" s="37"/>
      <c r="AAG30" s="37"/>
      <c r="AAH30" s="37"/>
      <c r="AAI30" s="37"/>
      <c r="AAJ30" s="37"/>
      <c r="AAK30" s="138"/>
      <c r="AAL30" s="37"/>
      <c r="AAM30" s="37"/>
      <c r="AAN30" s="37"/>
      <c r="AAO30" s="37"/>
      <c r="AAP30" s="37"/>
      <c r="AAQ30" s="75"/>
      <c r="AAR30" s="37"/>
      <c r="AAS30" s="37"/>
      <c r="AAT30" s="37"/>
      <c r="AAU30" s="37"/>
      <c r="AAV30" s="37"/>
      <c r="AAW30" s="38"/>
      <c r="AAX30" s="36"/>
      <c r="AAY30" s="65"/>
      <c r="AAZ30" s="65"/>
      <c r="ABA30" s="65"/>
      <c r="ABB30" s="37"/>
      <c r="ABC30" s="133"/>
      <c r="ABD30" s="37"/>
      <c r="ABE30" s="37"/>
      <c r="ABF30" s="37"/>
      <c r="ABG30" s="37"/>
      <c r="ABH30" s="37"/>
      <c r="ABI30" s="138"/>
      <c r="ABJ30" s="37"/>
      <c r="ABK30" s="37"/>
      <c r="ABL30" s="37"/>
      <c r="ABM30" s="37"/>
      <c r="ABN30" s="37"/>
      <c r="ABO30" s="75"/>
      <c r="ABP30" s="37"/>
      <c r="ABQ30" s="37"/>
      <c r="ABR30" s="37"/>
      <c r="ABS30" s="37"/>
      <c r="ABT30" s="37"/>
      <c r="ABU30" s="138"/>
      <c r="ABV30" s="37"/>
      <c r="ABW30" s="37"/>
      <c r="ABX30" s="37"/>
      <c r="ABY30" s="37"/>
      <c r="ABZ30" s="37"/>
      <c r="ACA30" s="75"/>
      <c r="ACB30" s="65"/>
      <c r="ACC30" s="65"/>
      <c r="ACD30" s="65"/>
      <c r="ACE30" s="65"/>
      <c r="ACF30" s="37"/>
      <c r="ACG30" s="138"/>
      <c r="ACH30" s="37"/>
      <c r="ACI30" s="37"/>
      <c r="ACJ30" s="37"/>
      <c r="ACK30" s="37"/>
      <c r="ACL30" s="37"/>
      <c r="ACM30" s="75"/>
      <c r="ACN30" s="37"/>
      <c r="ACO30" s="37"/>
      <c r="ACP30" s="37"/>
      <c r="ACQ30" s="37"/>
      <c r="ACR30" s="37"/>
      <c r="ACS30" s="138"/>
      <c r="ACT30" s="37"/>
      <c r="ACU30" s="37"/>
      <c r="ACV30" s="37"/>
      <c r="ACW30" s="37"/>
      <c r="ACX30" s="37"/>
      <c r="ACY30" s="75"/>
      <c r="ACZ30" s="37"/>
      <c r="ADA30" s="37"/>
      <c r="ADB30" s="37"/>
      <c r="ADC30" s="37"/>
      <c r="ADD30" s="37"/>
      <c r="ADE30" s="38"/>
      <c r="ADF30" s="36"/>
      <c r="ADG30" s="65"/>
      <c r="ADH30" s="65"/>
      <c r="ADI30" s="65"/>
      <c r="ADJ30" s="37"/>
      <c r="ADK30" s="133"/>
      <c r="ADL30" s="37"/>
      <c r="ADM30" s="37"/>
      <c r="ADN30" s="37"/>
      <c r="ADO30" s="37"/>
      <c r="ADP30" s="37"/>
      <c r="ADQ30" s="138"/>
      <c r="ADR30" s="37"/>
      <c r="ADS30" s="37"/>
      <c r="ADT30" s="37"/>
      <c r="ADU30" s="37"/>
      <c r="ADV30" s="37"/>
      <c r="ADW30" s="75"/>
      <c r="ADX30" s="37"/>
      <c r="ADY30" s="37"/>
      <c r="ADZ30" s="37"/>
      <c r="AEA30" s="37"/>
      <c r="AEB30" s="37"/>
      <c r="AEC30" s="138"/>
      <c r="AED30" s="37"/>
      <c r="AEE30" s="37"/>
      <c r="AEF30" s="37"/>
      <c r="AEG30" s="37"/>
      <c r="AEH30" s="37"/>
      <c r="AEI30" s="75"/>
      <c r="AEJ30" s="65"/>
      <c r="AEK30" s="65"/>
      <c r="AEL30" s="65"/>
      <c r="AEM30" s="65"/>
      <c r="AEN30" s="37"/>
      <c r="AEO30" s="138"/>
      <c r="AEP30" s="37"/>
      <c r="AEQ30" s="37"/>
      <c r="AER30" s="37"/>
      <c r="AES30" s="37"/>
      <c r="AET30" s="37"/>
      <c r="AEU30" s="75"/>
      <c r="AEV30" s="37"/>
      <c r="AEW30" s="37"/>
      <c r="AEX30" s="37"/>
      <c r="AEY30" s="37"/>
      <c r="AEZ30" s="37"/>
      <c r="AFA30" s="138"/>
      <c r="AFB30" s="37"/>
      <c r="AFC30" s="37"/>
      <c r="AFD30" s="37"/>
      <c r="AFE30" s="37"/>
      <c r="AFF30" s="37"/>
      <c r="AFG30" s="75"/>
      <c r="AFH30" s="37"/>
      <c r="AFI30" s="37"/>
      <c r="AFJ30" s="37"/>
      <c r="AFK30" s="37"/>
      <c r="AFL30" s="37"/>
      <c r="AFM30" s="38"/>
      <c r="AFN30" s="90"/>
    </row>
    <row r="31" spans="1:846" ht="20.100000000000001" customHeight="1" x14ac:dyDescent="0.25">
      <c r="A31" s="100" t="s">
        <v>20</v>
      </c>
      <c r="B31" s="63" t="str">
        <f>IF(LEN(C47)=0,"",C47)</f>
        <v/>
      </c>
      <c r="C31" s="218" t="s">
        <v>17</v>
      </c>
      <c r="D31" s="146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40"/>
      <c r="RS31" s="66"/>
      <c r="RT31" s="66"/>
      <c r="RU31" s="66"/>
      <c r="RV31" s="41"/>
      <c r="RW31" s="134"/>
      <c r="RX31" s="41"/>
      <c r="RY31" s="41"/>
      <c r="RZ31" s="41"/>
      <c r="SA31" s="41"/>
      <c r="SB31" s="41"/>
      <c r="SC31" s="139"/>
      <c r="SD31" s="41"/>
      <c r="SE31" s="41"/>
      <c r="SF31" s="41"/>
      <c r="SG31" s="41"/>
      <c r="SH31" s="41"/>
      <c r="SI31" s="76"/>
      <c r="SJ31" s="41"/>
      <c r="SK31" s="41"/>
      <c r="SL31" s="41"/>
      <c r="SM31" s="41"/>
      <c r="SN31" s="41"/>
      <c r="SO31" s="139"/>
      <c r="SP31" s="41"/>
      <c r="SQ31" s="41"/>
      <c r="SR31" s="41"/>
      <c r="SS31" s="41"/>
      <c r="ST31" s="41"/>
      <c r="SU31" s="76"/>
      <c r="SV31" s="66"/>
      <c r="SW31" s="66"/>
      <c r="SX31" s="66"/>
      <c r="SY31" s="66"/>
      <c r="SZ31" s="41"/>
      <c r="TA31" s="139"/>
      <c r="TB31" s="41"/>
      <c r="TC31" s="41"/>
      <c r="TD31" s="41"/>
      <c r="TE31" s="41"/>
      <c r="TF31" s="41"/>
      <c r="TG31" s="76"/>
      <c r="TH31" s="41"/>
      <c r="TI31" s="41"/>
      <c r="TJ31" s="41"/>
      <c r="TK31" s="41"/>
      <c r="TL31" s="41"/>
      <c r="TM31" s="139"/>
      <c r="TN31" s="41"/>
      <c r="TO31" s="41"/>
      <c r="TP31" s="41"/>
      <c r="TQ31" s="41"/>
      <c r="TR31" s="41"/>
      <c r="TS31" s="76"/>
      <c r="TT31" s="41"/>
      <c r="TU31" s="41"/>
      <c r="TV31" s="41"/>
      <c r="TW31" s="41"/>
      <c r="TX31" s="41"/>
      <c r="TY31" s="42"/>
      <c r="TZ31" s="40"/>
      <c r="UA31" s="66"/>
      <c r="UB31" s="66"/>
      <c r="UC31" s="66"/>
      <c r="UD31" s="41"/>
      <c r="UE31" s="134"/>
      <c r="UF31" s="41"/>
      <c r="UG31" s="41"/>
      <c r="UH31" s="41"/>
      <c r="UI31" s="41"/>
      <c r="UJ31" s="41"/>
      <c r="UK31" s="139"/>
      <c r="UL31" s="41"/>
      <c r="UM31" s="41"/>
      <c r="UN31" s="41"/>
      <c r="UO31" s="41"/>
      <c r="UP31" s="41"/>
      <c r="UQ31" s="76"/>
      <c r="UR31" s="41"/>
      <c r="US31" s="41"/>
      <c r="UT31" s="41"/>
      <c r="UU31" s="41"/>
      <c r="UV31" s="41"/>
      <c r="UW31" s="139"/>
      <c r="UX31" s="41"/>
      <c r="UY31" s="41"/>
      <c r="UZ31" s="41"/>
      <c r="VA31" s="41"/>
      <c r="VB31" s="41"/>
      <c r="VC31" s="76"/>
      <c r="VD31" s="66"/>
      <c r="VE31" s="66"/>
      <c r="VF31" s="66"/>
      <c r="VG31" s="66"/>
      <c r="VH31" s="41"/>
      <c r="VI31" s="139"/>
      <c r="VJ31" s="41"/>
      <c r="VK31" s="41"/>
      <c r="VL31" s="41"/>
      <c r="VM31" s="41"/>
      <c r="VN31" s="41"/>
      <c r="VO31" s="76"/>
      <c r="VP31" s="41"/>
      <c r="VQ31" s="41"/>
      <c r="VR31" s="41"/>
      <c r="VS31" s="41"/>
      <c r="VT31" s="41"/>
      <c r="VU31" s="139"/>
      <c r="VV31" s="41"/>
      <c r="VW31" s="41"/>
      <c r="VX31" s="41"/>
      <c r="VY31" s="41"/>
      <c r="VZ31" s="41"/>
      <c r="WA31" s="76"/>
      <c r="WB31" s="41"/>
      <c r="WC31" s="41"/>
      <c r="WD31" s="41"/>
      <c r="WE31" s="41"/>
      <c r="WF31" s="41"/>
      <c r="WG31" s="42"/>
      <c r="WH31" s="40"/>
      <c r="WI31" s="66"/>
      <c r="WJ31" s="66"/>
      <c r="WK31" s="66"/>
      <c r="WL31" s="41"/>
      <c r="WM31" s="134"/>
      <c r="WN31" s="41"/>
      <c r="WO31" s="41"/>
      <c r="WP31" s="41"/>
      <c r="WQ31" s="41"/>
      <c r="WR31" s="41"/>
      <c r="WS31" s="139"/>
      <c r="WT31" s="41"/>
      <c r="WU31" s="41"/>
      <c r="WV31" s="41"/>
      <c r="WW31" s="41"/>
      <c r="WX31" s="41"/>
      <c r="WY31" s="76"/>
      <c r="WZ31" s="41"/>
      <c r="XA31" s="41"/>
      <c r="XB31" s="41"/>
      <c r="XC31" s="41"/>
      <c r="XD31" s="41"/>
      <c r="XE31" s="139"/>
      <c r="XF31" s="41"/>
      <c r="XG31" s="41"/>
      <c r="XH31" s="41"/>
      <c r="XI31" s="41"/>
      <c r="XJ31" s="41"/>
      <c r="XK31" s="76"/>
      <c r="XL31" s="66"/>
      <c r="XM31" s="66"/>
      <c r="XN31" s="66"/>
      <c r="XO31" s="66"/>
      <c r="XP31" s="41"/>
      <c r="XQ31" s="139"/>
      <c r="XR31" s="41"/>
      <c r="XS31" s="41"/>
      <c r="XT31" s="41"/>
      <c r="XU31" s="41"/>
      <c r="XV31" s="41"/>
      <c r="XW31" s="76"/>
      <c r="XX31" s="41"/>
      <c r="XY31" s="41"/>
      <c r="XZ31" s="41"/>
      <c r="YA31" s="41"/>
      <c r="YB31" s="41"/>
      <c r="YC31" s="139"/>
      <c r="YD31" s="41"/>
      <c r="YE31" s="41"/>
      <c r="YF31" s="41"/>
      <c r="YG31" s="41"/>
      <c r="YH31" s="41"/>
      <c r="YI31" s="76"/>
      <c r="YJ31" s="41"/>
      <c r="YK31" s="41"/>
      <c r="YL31" s="41"/>
      <c r="YM31" s="41"/>
      <c r="YN31" s="41"/>
      <c r="YO31" s="42"/>
      <c r="YP31" s="40"/>
      <c r="YQ31" s="66"/>
      <c r="YR31" s="66"/>
      <c r="YS31" s="66"/>
      <c r="YT31" s="41"/>
      <c r="YU31" s="134"/>
      <c r="YV31" s="41"/>
      <c r="YW31" s="41"/>
      <c r="YX31" s="41"/>
      <c r="YY31" s="41"/>
      <c r="YZ31" s="41"/>
      <c r="ZA31" s="139"/>
      <c r="ZB31" s="41"/>
      <c r="ZC31" s="41"/>
      <c r="ZD31" s="41"/>
      <c r="ZE31" s="41"/>
      <c r="ZF31" s="41"/>
      <c r="ZG31" s="76"/>
      <c r="ZH31" s="41"/>
      <c r="ZI31" s="41"/>
      <c r="ZJ31" s="41"/>
      <c r="ZK31" s="41"/>
      <c r="ZL31" s="41"/>
      <c r="ZM31" s="139"/>
      <c r="ZN31" s="41"/>
      <c r="ZO31" s="41"/>
      <c r="ZP31" s="41"/>
      <c r="ZQ31" s="41"/>
      <c r="ZR31" s="41"/>
      <c r="ZS31" s="76"/>
      <c r="ZT31" s="66"/>
      <c r="ZU31" s="66"/>
      <c r="ZV31" s="66"/>
      <c r="ZW31" s="66"/>
      <c r="ZX31" s="41"/>
      <c r="ZY31" s="139"/>
      <c r="ZZ31" s="41"/>
      <c r="AAA31" s="41"/>
      <c r="AAB31" s="41"/>
      <c r="AAC31" s="41"/>
      <c r="AAD31" s="41"/>
      <c r="AAE31" s="76"/>
      <c r="AAF31" s="41"/>
      <c r="AAG31" s="41"/>
      <c r="AAH31" s="41"/>
      <c r="AAI31" s="41"/>
      <c r="AAJ31" s="41"/>
      <c r="AAK31" s="139"/>
      <c r="AAL31" s="41"/>
      <c r="AAM31" s="41"/>
      <c r="AAN31" s="41"/>
      <c r="AAO31" s="41"/>
      <c r="AAP31" s="41"/>
      <c r="AAQ31" s="76"/>
      <c r="AAR31" s="41"/>
      <c r="AAS31" s="41"/>
      <c r="AAT31" s="41"/>
      <c r="AAU31" s="41"/>
      <c r="AAV31" s="41"/>
      <c r="AAW31" s="42"/>
      <c r="AAX31" s="40"/>
      <c r="AAY31" s="66"/>
      <c r="AAZ31" s="66"/>
      <c r="ABA31" s="66"/>
      <c r="ABB31" s="41"/>
      <c r="ABC31" s="134"/>
      <c r="ABD31" s="41"/>
      <c r="ABE31" s="41"/>
      <c r="ABF31" s="41"/>
      <c r="ABG31" s="41"/>
      <c r="ABH31" s="41"/>
      <c r="ABI31" s="139"/>
      <c r="ABJ31" s="41"/>
      <c r="ABK31" s="41"/>
      <c r="ABL31" s="41"/>
      <c r="ABM31" s="41"/>
      <c r="ABN31" s="41"/>
      <c r="ABO31" s="76"/>
      <c r="ABP31" s="41"/>
      <c r="ABQ31" s="41"/>
      <c r="ABR31" s="41"/>
      <c r="ABS31" s="41"/>
      <c r="ABT31" s="41"/>
      <c r="ABU31" s="139"/>
      <c r="ABV31" s="41"/>
      <c r="ABW31" s="41"/>
      <c r="ABX31" s="41"/>
      <c r="ABY31" s="41"/>
      <c r="ABZ31" s="41"/>
      <c r="ACA31" s="76"/>
      <c r="ACB31" s="66"/>
      <c r="ACC31" s="66"/>
      <c r="ACD31" s="66"/>
      <c r="ACE31" s="66"/>
      <c r="ACF31" s="41"/>
      <c r="ACG31" s="139"/>
      <c r="ACH31" s="41"/>
      <c r="ACI31" s="41"/>
      <c r="ACJ31" s="41"/>
      <c r="ACK31" s="41"/>
      <c r="ACL31" s="41"/>
      <c r="ACM31" s="76"/>
      <c r="ACN31" s="41"/>
      <c r="ACO31" s="41"/>
      <c r="ACP31" s="41"/>
      <c r="ACQ31" s="41"/>
      <c r="ACR31" s="41"/>
      <c r="ACS31" s="139"/>
      <c r="ACT31" s="41"/>
      <c r="ACU31" s="41"/>
      <c r="ACV31" s="41"/>
      <c r="ACW31" s="41"/>
      <c r="ACX31" s="41"/>
      <c r="ACY31" s="76"/>
      <c r="ACZ31" s="41"/>
      <c r="ADA31" s="41"/>
      <c r="ADB31" s="41"/>
      <c r="ADC31" s="41"/>
      <c r="ADD31" s="41"/>
      <c r="ADE31" s="42"/>
      <c r="ADF31" s="40"/>
      <c r="ADG31" s="66"/>
      <c r="ADH31" s="66"/>
      <c r="ADI31" s="66"/>
      <c r="ADJ31" s="41"/>
      <c r="ADK31" s="134"/>
      <c r="ADL31" s="41"/>
      <c r="ADM31" s="41"/>
      <c r="ADN31" s="41"/>
      <c r="ADO31" s="41"/>
      <c r="ADP31" s="41"/>
      <c r="ADQ31" s="139"/>
      <c r="ADR31" s="41"/>
      <c r="ADS31" s="41"/>
      <c r="ADT31" s="41"/>
      <c r="ADU31" s="41"/>
      <c r="ADV31" s="41"/>
      <c r="ADW31" s="76"/>
      <c r="ADX31" s="41"/>
      <c r="ADY31" s="41"/>
      <c r="ADZ31" s="41"/>
      <c r="AEA31" s="41"/>
      <c r="AEB31" s="41"/>
      <c r="AEC31" s="139"/>
      <c r="AED31" s="41"/>
      <c r="AEE31" s="41"/>
      <c r="AEF31" s="41"/>
      <c r="AEG31" s="41"/>
      <c r="AEH31" s="41"/>
      <c r="AEI31" s="76"/>
      <c r="AEJ31" s="66"/>
      <c r="AEK31" s="66"/>
      <c r="AEL31" s="66"/>
      <c r="AEM31" s="66"/>
      <c r="AEN31" s="41"/>
      <c r="AEO31" s="139"/>
      <c r="AEP31" s="41"/>
      <c r="AEQ31" s="41"/>
      <c r="AER31" s="41"/>
      <c r="AES31" s="41"/>
      <c r="AET31" s="41"/>
      <c r="AEU31" s="76"/>
      <c r="AEV31" s="41"/>
      <c r="AEW31" s="41"/>
      <c r="AEX31" s="41"/>
      <c r="AEY31" s="41"/>
      <c r="AEZ31" s="41"/>
      <c r="AFA31" s="139"/>
      <c r="AFB31" s="41"/>
      <c r="AFC31" s="41"/>
      <c r="AFD31" s="41"/>
      <c r="AFE31" s="41"/>
      <c r="AFF31" s="41"/>
      <c r="AFG31" s="76"/>
      <c r="AFH31" s="41"/>
      <c r="AFI31" s="41"/>
      <c r="AFJ31" s="41"/>
      <c r="AFK31" s="41"/>
      <c r="AFL31" s="41"/>
      <c r="AFM31" s="42"/>
      <c r="AFN31" s="90"/>
    </row>
    <row r="32" spans="1:846" ht="20.100000000000001" customHeight="1" x14ac:dyDescent="0.3">
      <c r="A32" s="100" t="s">
        <v>21</v>
      </c>
      <c r="B32" s="63" t="str">
        <f>IF(LEN(C49)=0,"",C49)</f>
        <v/>
      </c>
      <c r="C32" s="219"/>
      <c r="D32" s="148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28"/>
      <c r="RS32" s="67"/>
      <c r="RT32" s="67"/>
      <c r="RU32" s="67"/>
      <c r="RV32" s="29"/>
      <c r="RW32" s="131"/>
      <c r="RX32" s="29"/>
      <c r="RY32" s="29"/>
      <c r="RZ32" s="29"/>
      <c r="SA32" s="29"/>
      <c r="SB32" s="29"/>
      <c r="SC32" s="136"/>
      <c r="SD32" s="29"/>
      <c r="SE32" s="29"/>
      <c r="SF32" s="29"/>
      <c r="SG32" s="29"/>
      <c r="SH32" s="29"/>
      <c r="SI32" s="73"/>
      <c r="SJ32" s="29"/>
      <c r="SK32" s="29"/>
      <c r="SL32" s="29"/>
      <c r="SM32" s="29"/>
      <c r="SN32" s="29"/>
      <c r="SO32" s="136"/>
      <c r="SP32" s="29"/>
      <c r="SQ32" s="29"/>
      <c r="SR32" s="29"/>
      <c r="SS32" s="29"/>
      <c r="ST32" s="29"/>
      <c r="SU32" s="73"/>
      <c r="SV32" s="67"/>
      <c r="SW32" s="67"/>
      <c r="SX32" s="67"/>
      <c r="SY32" s="67"/>
      <c r="SZ32" s="29"/>
      <c r="TA32" s="136"/>
      <c r="TB32" s="29"/>
      <c r="TC32" s="29"/>
      <c r="TD32" s="29"/>
      <c r="TE32" s="29"/>
      <c r="TF32" s="29"/>
      <c r="TG32" s="73"/>
      <c r="TH32" s="29"/>
      <c r="TI32" s="29"/>
      <c r="TJ32" s="29"/>
      <c r="TK32" s="29"/>
      <c r="TL32" s="29"/>
      <c r="TM32" s="136"/>
      <c r="TN32" s="29"/>
      <c r="TO32" s="29"/>
      <c r="TP32" s="29"/>
      <c r="TQ32" s="29"/>
      <c r="TR32" s="29"/>
      <c r="TS32" s="73"/>
      <c r="TT32" s="29"/>
      <c r="TU32" s="29"/>
      <c r="TV32" s="29"/>
      <c r="TW32" s="29"/>
      <c r="TX32" s="29"/>
      <c r="TY32" s="30"/>
      <c r="TZ32" s="28"/>
      <c r="UA32" s="67"/>
      <c r="UB32" s="67"/>
      <c r="UC32" s="67"/>
      <c r="UD32" s="29"/>
      <c r="UE32" s="131"/>
      <c r="UF32" s="29"/>
      <c r="UG32" s="29"/>
      <c r="UH32" s="29"/>
      <c r="UI32" s="29"/>
      <c r="UJ32" s="29"/>
      <c r="UK32" s="136"/>
      <c r="UL32" s="29"/>
      <c r="UM32" s="29"/>
      <c r="UN32" s="29"/>
      <c r="UO32" s="29"/>
      <c r="UP32" s="29"/>
      <c r="UQ32" s="73"/>
      <c r="UR32" s="29"/>
      <c r="US32" s="29"/>
      <c r="UT32" s="29"/>
      <c r="UU32" s="29"/>
      <c r="UV32" s="29"/>
      <c r="UW32" s="136"/>
      <c r="UX32" s="29"/>
      <c r="UY32" s="29"/>
      <c r="UZ32" s="29"/>
      <c r="VA32" s="29"/>
      <c r="VB32" s="29"/>
      <c r="VC32" s="73"/>
      <c r="VD32" s="67"/>
      <c r="VE32" s="67"/>
      <c r="VF32" s="67"/>
      <c r="VG32" s="67"/>
      <c r="VH32" s="29"/>
      <c r="VI32" s="136"/>
      <c r="VJ32" s="29"/>
      <c r="VK32" s="29"/>
      <c r="VL32" s="29"/>
      <c r="VM32" s="29"/>
      <c r="VN32" s="29"/>
      <c r="VO32" s="73"/>
      <c r="VP32" s="29"/>
      <c r="VQ32" s="29"/>
      <c r="VR32" s="29"/>
      <c r="VS32" s="29"/>
      <c r="VT32" s="29"/>
      <c r="VU32" s="136"/>
      <c r="VV32" s="29"/>
      <c r="VW32" s="29"/>
      <c r="VX32" s="29"/>
      <c r="VY32" s="29"/>
      <c r="VZ32" s="29"/>
      <c r="WA32" s="73"/>
      <c r="WB32" s="29"/>
      <c r="WC32" s="29"/>
      <c r="WD32" s="29"/>
      <c r="WE32" s="29"/>
      <c r="WF32" s="29"/>
      <c r="WG32" s="30"/>
      <c r="WH32" s="28"/>
      <c r="WI32" s="67"/>
      <c r="WJ32" s="67"/>
      <c r="WK32" s="67"/>
      <c r="WL32" s="29"/>
      <c r="WM32" s="131"/>
      <c r="WN32" s="29"/>
      <c r="WO32" s="29"/>
      <c r="WP32" s="29"/>
      <c r="WQ32" s="29"/>
      <c r="WR32" s="29"/>
      <c r="WS32" s="136"/>
      <c r="WT32" s="29"/>
      <c r="WU32" s="29"/>
      <c r="WV32" s="29"/>
      <c r="WW32" s="29"/>
      <c r="WX32" s="29"/>
      <c r="WY32" s="73"/>
      <c r="WZ32" s="29"/>
      <c r="XA32" s="29"/>
      <c r="XB32" s="29"/>
      <c r="XC32" s="29"/>
      <c r="XD32" s="29"/>
      <c r="XE32" s="136"/>
      <c r="XF32" s="29"/>
      <c r="XG32" s="29"/>
      <c r="XH32" s="29"/>
      <c r="XI32" s="29"/>
      <c r="XJ32" s="29"/>
      <c r="XK32" s="73"/>
      <c r="XL32" s="67"/>
      <c r="XM32" s="67"/>
      <c r="XN32" s="67"/>
      <c r="XO32" s="67"/>
      <c r="XP32" s="29"/>
      <c r="XQ32" s="136"/>
      <c r="XR32" s="29"/>
      <c r="XS32" s="29"/>
      <c r="XT32" s="29"/>
      <c r="XU32" s="29"/>
      <c r="XV32" s="29"/>
      <c r="XW32" s="73"/>
      <c r="XX32" s="29"/>
      <c r="XY32" s="29"/>
      <c r="XZ32" s="29"/>
      <c r="YA32" s="29"/>
      <c r="YB32" s="29"/>
      <c r="YC32" s="136"/>
      <c r="YD32" s="29"/>
      <c r="YE32" s="29"/>
      <c r="YF32" s="29"/>
      <c r="YG32" s="29"/>
      <c r="YH32" s="29"/>
      <c r="YI32" s="73"/>
      <c r="YJ32" s="29"/>
      <c r="YK32" s="29"/>
      <c r="YL32" s="29"/>
      <c r="YM32" s="29"/>
      <c r="YN32" s="29"/>
      <c r="YO32" s="30"/>
      <c r="YP32" s="28"/>
      <c r="YQ32" s="67"/>
      <c r="YR32" s="67"/>
      <c r="YS32" s="67"/>
      <c r="YT32" s="29"/>
      <c r="YU32" s="131"/>
      <c r="YV32" s="29"/>
      <c r="YW32" s="29"/>
      <c r="YX32" s="29"/>
      <c r="YY32" s="29"/>
      <c r="YZ32" s="29"/>
      <c r="ZA32" s="136"/>
      <c r="ZB32" s="29"/>
      <c r="ZC32" s="29"/>
      <c r="ZD32" s="29"/>
      <c r="ZE32" s="29"/>
      <c r="ZF32" s="29"/>
      <c r="ZG32" s="73"/>
      <c r="ZH32" s="29"/>
      <c r="ZI32" s="29"/>
      <c r="ZJ32" s="29"/>
      <c r="ZK32" s="29"/>
      <c r="ZL32" s="29"/>
      <c r="ZM32" s="136"/>
      <c r="ZN32" s="29"/>
      <c r="ZO32" s="29"/>
      <c r="ZP32" s="29"/>
      <c r="ZQ32" s="29"/>
      <c r="ZR32" s="29"/>
      <c r="ZS32" s="73"/>
      <c r="ZT32" s="67"/>
      <c r="ZU32" s="67"/>
      <c r="ZV32" s="67"/>
      <c r="ZW32" s="67"/>
      <c r="ZX32" s="29"/>
      <c r="ZY32" s="136"/>
      <c r="ZZ32" s="29"/>
      <c r="AAA32" s="29"/>
      <c r="AAB32" s="29"/>
      <c r="AAC32" s="29"/>
      <c r="AAD32" s="29"/>
      <c r="AAE32" s="73"/>
      <c r="AAF32" s="29"/>
      <c r="AAG32" s="29"/>
      <c r="AAH32" s="29"/>
      <c r="AAI32" s="29"/>
      <c r="AAJ32" s="29"/>
      <c r="AAK32" s="136"/>
      <c r="AAL32" s="29"/>
      <c r="AAM32" s="29"/>
      <c r="AAN32" s="29"/>
      <c r="AAO32" s="29"/>
      <c r="AAP32" s="29"/>
      <c r="AAQ32" s="73"/>
      <c r="AAR32" s="29"/>
      <c r="AAS32" s="29"/>
      <c r="AAT32" s="29"/>
      <c r="AAU32" s="29"/>
      <c r="AAV32" s="29"/>
      <c r="AAW32" s="30"/>
      <c r="AAX32" s="28"/>
      <c r="AAY32" s="67"/>
      <c r="AAZ32" s="67"/>
      <c r="ABA32" s="67"/>
      <c r="ABB32" s="29"/>
      <c r="ABC32" s="131"/>
      <c r="ABD32" s="29"/>
      <c r="ABE32" s="29"/>
      <c r="ABF32" s="29"/>
      <c r="ABG32" s="29"/>
      <c r="ABH32" s="29"/>
      <c r="ABI32" s="136"/>
      <c r="ABJ32" s="29"/>
      <c r="ABK32" s="29"/>
      <c r="ABL32" s="29"/>
      <c r="ABM32" s="29"/>
      <c r="ABN32" s="29"/>
      <c r="ABO32" s="73"/>
      <c r="ABP32" s="29"/>
      <c r="ABQ32" s="29"/>
      <c r="ABR32" s="29"/>
      <c r="ABS32" s="29"/>
      <c r="ABT32" s="29"/>
      <c r="ABU32" s="136"/>
      <c r="ABV32" s="29"/>
      <c r="ABW32" s="29"/>
      <c r="ABX32" s="29"/>
      <c r="ABY32" s="29"/>
      <c r="ABZ32" s="29"/>
      <c r="ACA32" s="73"/>
      <c r="ACB32" s="67"/>
      <c r="ACC32" s="67"/>
      <c r="ACD32" s="67"/>
      <c r="ACE32" s="67"/>
      <c r="ACF32" s="29"/>
      <c r="ACG32" s="136"/>
      <c r="ACH32" s="29"/>
      <c r="ACI32" s="29"/>
      <c r="ACJ32" s="29"/>
      <c r="ACK32" s="29"/>
      <c r="ACL32" s="29"/>
      <c r="ACM32" s="73"/>
      <c r="ACN32" s="29"/>
      <c r="ACO32" s="29"/>
      <c r="ACP32" s="29"/>
      <c r="ACQ32" s="29"/>
      <c r="ACR32" s="29"/>
      <c r="ACS32" s="136"/>
      <c r="ACT32" s="29"/>
      <c r="ACU32" s="29"/>
      <c r="ACV32" s="29"/>
      <c r="ACW32" s="29"/>
      <c r="ACX32" s="29"/>
      <c r="ACY32" s="73"/>
      <c r="ACZ32" s="29"/>
      <c r="ADA32" s="29"/>
      <c r="ADB32" s="29"/>
      <c r="ADC32" s="29"/>
      <c r="ADD32" s="29"/>
      <c r="ADE32" s="30"/>
      <c r="ADF32" s="28"/>
      <c r="ADG32" s="67"/>
      <c r="ADH32" s="67"/>
      <c r="ADI32" s="67"/>
      <c r="ADJ32" s="29"/>
      <c r="ADK32" s="131"/>
      <c r="ADL32" s="29"/>
      <c r="ADM32" s="29"/>
      <c r="ADN32" s="29"/>
      <c r="ADO32" s="29"/>
      <c r="ADP32" s="29"/>
      <c r="ADQ32" s="136"/>
      <c r="ADR32" s="29"/>
      <c r="ADS32" s="29"/>
      <c r="ADT32" s="29"/>
      <c r="ADU32" s="29"/>
      <c r="ADV32" s="29"/>
      <c r="ADW32" s="73"/>
      <c r="ADX32" s="29"/>
      <c r="ADY32" s="29"/>
      <c r="ADZ32" s="29"/>
      <c r="AEA32" s="29"/>
      <c r="AEB32" s="29"/>
      <c r="AEC32" s="136"/>
      <c r="AED32" s="29"/>
      <c r="AEE32" s="29"/>
      <c r="AEF32" s="29"/>
      <c r="AEG32" s="29"/>
      <c r="AEH32" s="29"/>
      <c r="AEI32" s="73"/>
      <c r="AEJ32" s="67"/>
      <c r="AEK32" s="67"/>
      <c r="AEL32" s="67"/>
      <c r="AEM32" s="67"/>
      <c r="AEN32" s="29"/>
      <c r="AEO32" s="136"/>
      <c r="AEP32" s="29"/>
      <c r="AEQ32" s="29"/>
      <c r="AER32" s="29"/>
      <c r="AES32" s="29"/>
      <c r="AET32" s="29"/>
      <c r="AEU32" s="73"/>
      <c r="AEV32" s="29"/>
      <c r="AEW32" s="29"/>
      <c r="AEX32" s="29"/>
      <c r="AEY32" s="29"/>
      <c r="AEZ32" s="29"/>
      <c r="AFA32" s="136"/>
      <c r="AFB32" s="29"/>
      <c r="AFC32" s="29"/>
      <c r="AFD32" s="29"/>
      <c r="AFE32" s="29"/>
      <c r="AFF32" s="29"/>
      <c r="AFG32" s="73"/>
      <c r="AFH32" s="29"/>
      <c r="AFI32" s="29"/>
      <c r="AFJ32" s="29"/>
      <c r="AFK32" s="29"/>
      <c r="AFL32" s="29"/>
      <c r="AFM32" s="30"/>
      <c r="AFN32" s="90"/>
    </row>
    <row r="33" spans="1:846" ht="20.100000000000001" customHeight="1" x14ac:dyDescent="0.25">
      <c r="A33" s="100" t="s">
        <v>20</v>
      </c>
      <c r="B33" s="63" t="str">
        <f>IF(LEN(C51)=0,"",C51)</f>
        <v/>
      </c>
      <c r="C33" s="218" t="s">
        <v>16</v>
      </c>
      <c r="D33" s="146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32"/>
      <c r="RS33" s="64"/>
      <c r="RT33" s="64"/>
      <c r="RU33" s="64"/>
      <c r="RV33" s="33"/>
      <c r="RW33" s="132"/>
      <c r="RX33" s="33"/>
      <c r="RY33" s="33"/>
      <c r="RZ33" s="33"/>
      <c r="SA33" s="33"/>
      <c r="SB33" s="33"/>
      <c r="SC33" s="137"/>
      <c r="SD33" s="33"/>
      <c r="SE33" s="33"/>
      <c r="SF33" s="33"/>
      <c r="SG33" s="33"/>
      <c r="SH33" s="33"/>
      <c r="SI33" s="74"/>
      <c r="SJ33" s="33"/>
      <c r="SK33" s="33"/>
      <c r="SL33" s="33"/>
      <c r="SM33" s="33"/>
      <c r="SN33" s="33"/>
      <c r="SO33" s="137"/>
      <c r="SP33" s="33"/>
      <c r="SQ33" s="33"/>
      <c r="SR33" s="33"/>
      <c r="SS33" s="33"/>
      <c r="ST33" s="33"/>
      <c r="SU33" s="74"/>
      <c r="SV33" s="64"/>
      <c r="SW33" s="64"/>
      <c r="SX33" s="64"/>
      <c r="SY33" s="64"/>
      <c r="SZ33" s="33"/>
      <c r="TA33" s="137"/>
      <c r="TB33" s="33"/>
      <c r="TC33" s="33"/>
      <c r="TD33" s="33"/>
      <c r="TE33" s="33"/>
      <c r="TF33" s="33"/>
      <c r="TG33" s="74"/>
      <c r="TH33" s="33"/>
      <c r="TI33" s="33"/>
      <c r="TJ33" s="33"/>
      <c r="TK33" s="33"/>
      <c r="TL33" s="33"/>
      <c r="TM33" s="137"/>
      <c r="TN33" s="33"/>
      <c r="TO33" s="33"/>
      <c r="TP33" s="33"/>
      <c r="TQ33" s="33"/>
      <c r="TR33" s="33"/>
      <c r="TS33" s="74"/>
      <c r="TT33" s="33"/>
      <c r="TU33" s="33"/>
      <c r="TV33" s="33"/>
      <c r="TW33" s="33"/>
      <c r="TX33" s="33"/>
      <c r="TY33" s="34"/>
      <c r="TZ33" s="32"/>
      <c r="UA33" s="64"/>
      <c r="UB33" s="64"/>
      <c r="UC33" s="64"/>
      <c r="UD33" s="33"/>
      <c r="UE33" s="132"/>
      <c r="UF33" s="33"/>
      <c r="UG33" s="33"/>
      <c r="UH33" s="33"/>
      <c r="UI33" s="33"/>
      <c r="UJ33" s="33"/>
      <c r="UK33" s="137"/>
      <c r="UL33" s="33"/>
      <c r="UM33" s="33"/>
      <c r="UN33" s="33"/>
      <c r="UO33" s="33"/>
      <c r="UP33" s="33"/>
      <c r="UQ33" s="74"/>
      <c r="UR33" s="33"/>
      <c r="US33" s="33"/>
      <c r="UT33" s="33"/>
      <c r="UU33" s="33"/>
      <c r="UV33" s="33"/>
      <c r="UW33" s="137"/>
      <c r="UX33" s="33"/>
      <c r="UY33" s="33"/>
      <c r="UZ33" s="33"/>
      <c r="VA33" s="33"/>
      <c r="VB33" s="33"/>
      <c r="VC33" s="74"/>
      <c r="VD33" s="64"/>
      <c r="VE33" s="64"/>
      <c r="VF33" s="64"/>
      <c r="VG33" s="64"/>
      <c r="VH33" s="33"/>
      <c r="VI33" s="137"/>
      <c r="VJ33" s="33"/>
      <c r="VK33" s="33"/>
      <c r="VL33" s="33"/>
      <c r="VM33" s="33"/>
      <c r="VN33" s="33"/>
      <c r="VO33" s="74"/>
      <c r="VP33" s="33"/>
      <c r="VQ33" s="33"/>
      <c r="VR33" s="33"/>
      <c r="VS33" s="33"/>
      <c r="VT33" s="33"/>
      <c r="VU33" s="137"/>
      <c r="VV33" s="33"/>
      <c r="VW33" s="33"/>
      <c r="VX33" s="33"/>
      <c r="VY33" s="33"/>
      <c r="VZ33" s="33"/>
      <c r="WA33" s="74"/>
      <c r="WB33" s="33"/>
      <c r="WC33" s="33"/>
      <c r="WD33" s="33"/>
      <c r="WE33" s="33"/>
      <c r="WF33" s="33"/>
      <c r="WG33" s="34"/>
      <c r="WH33" s="32"/>
      <c r="WI33" s="64"/>
      <c r="WJ33" s="64"/>
      <c r="WK33" s="64"/>
      <c r="WL33" s="33"/>
      <c r="WM33" s="132"/>
      <c r="WN33" s="33"/>
      <c r="WO33" s="33"/>
      <c r="WP33" s="33"/>
      <c r="WQ33" s="33"/>
      <c r="WR33" s="33"/>
      <c r="WS33" s="137"/>
      <c r="WT33" s="33"/>
      <c r="WU33" s="33"/>
      <c r="WV33" s="33"/>
      <c r="WW33" s="33"/>
      <c r="WX33" s="33"/>
      <c r="WY33" s="74"/>
      <c r="WZ33" s="33"/>
      <c r="XA33" s="33"/>
      <c r="XB33" s="33"/>
      <c r="XC33" s="33"/>
      <c r="XD33" s="33"/>
      <c r="XE33" s="137"/>
      <c r="XF33" s="33"/>
      <c r="XG33" s="33"/>
      <c r="XH33" s="33"/>
      <c r="XI33" s="33"/>
      <c r="XJ33" s="33"/>
      <c r="XK33" s="74"/>
      <c r="XL33" s="64"/>
      <c r="XM33" s="64"/>
      <c r="XN33" s="64"/>
      <c r="XO33" s="64"/>
      <c r="XP33" s="33"/>
      <c r="XQ33" s="137"/>
      <c r="XR33" s="33"/>
      <c r="XS33" s="33"/>
      <c r="XT33" s="33"/>
      <c r="XU33" s="33"/>
      <c r="XV33" s="33"/>
      <c r="XW33" s="74"/>
      <c r="XX33" s="33"/>
      <c r="XY33" s="33"/>
      <c r="XZ33" s="33"/>
      <c r="YA33" s="33"/>
      <c r="YB33" s="33"/>
      <c r="YC33" s="137"/>
      <c r="YD33" s="33"/>
      <c r="YE33" s="33"/>
      <c r="YF33" s="33"/>
      <c r="YG33" s="33"/>
      <c r="YH33" s="33"/>
      <c r="YI33" s="74"/>
      <c r="YJ33" s="33"/>
      <c r="YK33" s="33"/>
      <c r="YL33" s="33"/>
      <c r="YM33" s="33"/>
      <c r="YN33" s="33"/>
      <c r="YO33" s="34"/>
      <c r="YP33" s="32"/>
      <c r="YQ33" s="64"/>
      <c r="YR33" s="64"/>
      <c r="YS33" s="64"/>
      <c r="YT33" s="33"/>
      <c r="YU33" s="132"/>
      <c r="YV33" s="33"/>
      <c r="YW33" s="33"/>
      <c r="YX33" s="33"/>
      <c r="YY33" s="33"/>
      <c r="YZ33" s="33"/>
      <c r="ZA33" s="137"/>
      <c r="ZB33" s="33"/>
      <c r="ZC33" s="33"/>
      <c r="ZD33" s="33"/>
      <c r="ZE33" s="33"/>
      <c r="ZF33" s="33"/>
      <c r="ZG33" s="74"/>
      <c r="ZH33" s="33"/>
      <c r="ZI33" s="33"/>
      <c r="ZJ33" s="33"/>
      <c r="ZK33" s="33"/>
      <c r="ZL33" s="33"/>
      <c r="ZM33" s="137"/>
      <c r="ZN33" s="33"/>
      <c r="ZO33" s="33"/>
      <c r="ZP33" s="33"/>
      <c r="ZQ33" s="33"/>
      <c r="ZR33" s="33"/>
      <c r="ZS33" s="74"/>
      <c r="ZT33" s="64"/>
      <c r="ZU33" s="64"/>
      <c r="ZV33" s="64"/>
      <c r="ZW33" s="64"/>
      <c r="ZX33" s="33"/>
      <c r="ZY33" s="137"/>
      <c r="ZZ33" s="33"/>
      <c r="AAA33" s="33"/>
      <c r="AAB33" s="33"/>
      <c r="AAC33" s="33"/>
      <c r="AAD33" s="33"/>
      <c r="AAE33" s="74"/>
      <c r="AAF33" s="33"/>
      <c r="AAG33" s="33"/>
      <c r="AAH33" s="33"/>
      <c r="AAI33" s="33"/>
      <c r="AAJ33" s="33"/>
      <c r="AAK33" s="137"/>
      <c r="AAL33" s="33"/>
      <c r="AAM33" s="33"/>
      <c r="AAN33" s="33"/>
      <c r="AAO33" s="33"/>
      <c r="AAP33" s="33"/>
      <c r="AAQ33" s="74"/>
      <c r="AAR33" s="33"/>
      <c r="AAS33" s="33"/>
      <c r="AAT33" s="33"/>
      <c r="AAU33" s="33"/>
      <c r="AAV33" s="33"/>
      <c r="AAW33" s="34"/>
      <c r="AAX33" s="32"/>
      <c r="AAY33" s="64"/>
      <c r="AAZ33" s="64"/>
      <c r="ABA33" s="64"/>
      <c r="ABB33" s="33"/>
      <c r="ABC33" s="132"/>
      <c r="ABD33" s="33"/>
      <c r="ABE33" s="33"/>
      <c r="ABF33" s="33"/>
      <c r="ABG33" s="33"/>
      <c r="ABH33" s="33"/>
      <c r="ABI33" s="137"/>
      <c r="ABJ33" s="33"/>
      <c r="ABK33" s="33"/>
      <c r="ABL33" s="33"/>
      <c r="ABM33" s="33"/>
      <c r="ABN33" s="33"/>
      <c r="ABO33" s="74"/>
      <c r="ABP33" s="33"/>
      <c r="ABQ33" s="33"/>
      <c r="ABR33" s="33"/>
      <c r="ABS33" s="33"/>
      <c r="ABT33" s="33"/>
      <c r="ABU33" s="137"/>
      <c r="ABV33" s="33"/>
      <c r="ABW33" s="33"/>
      <c r="ABX33" s="33"/>
      <c r="ABY33" s="33"/>
      <c r="ABZ33" s="33"/>
      <c r="ACA33" s="74"/>
      <c r="ACB33" s="64"/>
      <c r="ACC33" s="64"/>
      <c r="ACD33" s="64"/>
      <c r="ACE33" s="64"/>
      <c r="ACF33" s="33"/>
      <c r="ACG33" s="137"/>
      <c r="ACH33" s="33"/>
      <c r="ACI33" s="33"/>
      <c r="ACJ33" s="33"/>
      <c r="ACK33" s="33"/>
      <c r="ACL33" s="33"/>
      <c r="ACM33" s="74"/>
      <c r="ACN33" s="33"/>
      <c r="ACO33" s="33"/>
      <c r="ACP33" s="33"/>
      <c r="ACQ33" s="33"/>
      <c r="ACR33" s="33"/>
      <c r="ACS33" s="137"/>
      <c r="ACT33" s="33"/>
      <c r="ACU33" s="33"/>
      <c r="ACV33" s="33"/>
      <c r="ACW33" s="33"/>
      <c r="ACX33" s="33"/>
      <c r="ACY33" s="74"/>
      <c r="ACZ33" s="33"/>
      <c r="ADA33" s="33"/>
      <c r="ADB33" s="33"/>
      <c r="ADC33" s="33"/>
      <c r="ADD33" s="33"/>
      <c r="ADE33" s="34"/>
      <c r="ADF33" s="32"/>
      <c r="ADG33" s="64"/>
      <c r="ADH33" s="64"/>
      <c r="ADI33" s="64"/>
      <c r="ADJ33" s="33"/>
      <c r="ADK33" s="132"/>
      <c r="ADL33" s="33"/>
      <c r="ADM33" s="33"/>
      <c r="ADN33" s="33"/>
      <c r="ADO33" s="33"/>
      <c r="ADP33" s="33"/>
      <c r="ADQ33" s="137"/>
      <c r="ADR33" s="33"/>
      <c r="ADS33" s="33"/>
      <c r="ADT33" s="33"/>
      <c r="ADU33" s="33"/>
      <c r="ADV33" s="33"/>
      <c r="ADW33" s="74"/>
      <c r="ADX33" s="33"/>
      <c r="ADY33" s="33"/>
      <c r="ADZ33" s="33"/>
      <c r="AEA33" s="33"/>
      <c r="AEB33" s="33"/>
      <c r="AEC33" s="137"/>
      <c r="AED33" s="33"/>
      <c r="AEE33" s="33"/>
      <c r="AEF33" s="33"/>
      <c r="AEG33" s="33"/>
      <c r="AEH33" s="33"/>
      <c r="AEI33" s="74"/>
      <c r="AEJ33" s="64"/>
      <c r="AEK33" s="64"/>
      <c r="AEL33" s="64"/>
      <c r="AEM33" s="64"/>
      <c r="AEN33" s="33"/>
      <c r="AEO33" s="137"/>
      <c r="AEP33" s="33"/>
      <c r="AEQ33" s="33"/>
      <c r="AER33" s="33"/>
      <c r="AES33" s="33"/>
      <c r="AET33" s="33"/>
      <c r="AEU33" s="74"/>
      <c r="AEV33" s="33"/>
      <c r="AEW33" s="33"/>
      <c r="AEX33" s="33"/>
      <c r="AEY33" s="33"/>
      <c r="AEZ33" s="33"/>
      <c r="AFA33" s="137"/>
      <c r="AFB33" s="33"/>
      <c r="AFC33" s="33"/>
      <c r="AFD33" s="33"/>
      <c r="AFE33" s="33"/>
      <c r="AFF33" s="33"/>
      <c r="AFG33" s="74"/>
      <c r="AFH33" s="33"/>
      <c r="AFI33" s="33"/>
      <c r="AFJ33" s="33"/>
      <c r="AFK33" s="33"/>
      <c r="AFL33" s="33"/>
      <c r="AFM33" s="34"/>
      <c r="AFN33" s="90"/>
    </row>
    <row r="34" spans="1:846" ht="20.100000000000001" customHeight="1" x14ac:dyDescent="0.3">
      <c r="A34" s="100" t="s">
        <v>21</v>
      </c>
      <c r="B34" s="63" t="str">
        <f>IF(LEN(C53)=0,"",C53)</f>
        <v/>
      </c>
      <c r="C34" s="219"/>
      <c r="D34" s="148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36"/>
      <c r="RS34" s="65"/>
      <c r="RT34" s="65"/>
      <c r="RU34" s="65"/>
      <c r="RV34" s="37"/>
      <c r="RW34" s="133"/>
      <c r="RX34" s="37"/>
      <c r="RY34" s="37"/>
      <c r="RZ34" s="37"/>
      <c r="SA34" s="37"/>
      <c r="SB34" s="37"/>
      <c r="SC34" s="138"/>
      <c r="SD34" s="37"/>
      <c r="SE34" s="37"/>
      <c r="SF34" s="37"/>
      <c r="SG34" s="37"/>
      <c r="SH34" s="37"/>
      <c r="SI34" s="75"/>
      <c r="SJ34" s="37"/>
      <c r="SK34" s="37"/>
      <c r="SL34" s="37"/>
      <c r="SM34" s="37"/>
      <c r="SN34" s="37"/>
      <c r="SO34" s="138"/>
      <c r="SP34" s="37"/>
      <c r="SQ34" s="37"/>
      <c r="SR34" s="37"/>
      <c r="SS34" s="37"/>
      <c r="ST34" s="37"/>
      <c r="SU34" s="75"/>
      <c r="SV34" s="65"/>
      <c r="SW34" s="65"/>
      <c r="SX34" s="65"/>
      <c r="SY34" s="65"/>
      <c r="SZ34" s="37"/>
      <c r="TA34" s="138"/>
      <c r="TB34" s="37"/>
      <c r="TC34" s="37"/>
      <c r="TD34" s="37"/>
      <c r="TE34" s="37"/>
      <c r="TF34" s="37"/>
      <c r="TG34" s="75"/>
      <c r="TH34" s="37"/>
      <c r="TI34" s="37"/>
      <c r="TJ34" s="37"/>
      <c r="TK34" s="37"/>
      <c r="TL34" s="37"/>
      <c r="TM34" s="138"/>
      <c r="TN34" s="37"/>
      <c r="TO34" s="37"/>
      <c r="TP34" s="37"/>
      <c r="TQ34" s="37"/>
      <c r="TR34" s="37"/>
      <c r="TS34" s="75"/>
      <c r="TT34" s="37"/>
      <c r="TU34" s="37"/>
      <c r="TV34" s="37"/>
      <c r="TW34" s="37"/>
      <c r="TX34" s="37"/>
      <c r="TY34" s="38"/>
      <c r="TZ34" s="36"/>
      <c r="UA34" s="65"/>
      <c r="UB34" s="65"/>
      <c r="UC34" s="65"/>
      <c r="UD34" s="37"/>
      <c r="UE34" s="133"/>
      <c r="UF34" s="37"/>
      <c r="UG34" s="37"/>
      <c r="UH34" s="37"/>
      <c r="UI34" s="37"/>
      <c r="UJ34" s="37"/>
      <c r="UK34" s="138"/>
      <c r="UL34" s="37"/>
      <c r="UM34" s="37"/>
      <c r="UN34" s="37"/>
      <c r="UO34" s="37"/>
      <c r="UP34" s="37"/>
      <c r="UQ34" s="75"/>
      <c r="UR34" s="37"/>
      <c r="US34" s="37"/>
      <c r="UT34" s="37"/>
      <c r="UU34" s="37"/>
      <c r="UV34" s="37"/>
      <c r="UW34" s="138"/>
      <c r="UX34" s="37"/>
      <c r="UY34" s="37"/>
      <c r="UZ34" s="37"/>
      <c r="VA34" s="37"/>
      <c r="VB34" s="37"/>
      <c r="VC34" s="75"/>
      <c r="VD34" s="65"/>
      <c r="VE34" s="65"/>
      <c r="VF34" s="65"/>
      <c r="VG34" s="65"/>
      <c r="VH34" s="37"/>
      <c r="VI34" s="138"/>
      <c r="VJ34" s="37"/>
      <c r="VK34" s="37"/>
      <c r="VL34" s="37"/>
      <c r="VM34" s="37"/>
      <c r="VN34" s="37"/>
      <c r="VO34" s="75"/>
      <c r="VP34" s="37"/>
      <c r="VQ34" s="37"/>
      <c r="VR34" s="37"/>
      <c r="VS34" s="37"/>
      <c r="VT34" s="37"/>
      <c r="VU34" s="138"/>
      <c r="VV34" s="37"/>
      <c r="VW34" s="37"/>
      <c r="VX34" s="37"/>
      <c r="VY34" s="37"/>
      <c r="VZ34" s="37"/>
      <c r="WA34" s="75"/>
      <c r="WB34" s="37"/>
      <c r="WC34" s="37"/>
      <c r="WD34" s="37"/>
      <c r="WE34" s="37"/>
      <c r="WF34" s="37"/>
      <c r="WG34" s="38"/>
      <c r="WH34" s="36"/>
      <c r="WI34" s="65"/>
      <c r="WJ34" s="65"/>
      <c r="WK34" s="65"/>
      <c r="WL34" s="37"/>
      <c r="WM34" s="133"/>
      <c r="WN34" s="37"/>
      <c r="WO34" s="37"/>
      <c r="WP34" s="37"/>
      <c r="WQ34" s="37"/>
      <c r="WR34" s="37"/>
      <c r="WS34" s="138"/>
      <c r="WT34" s="37"/>
      <c r="WU34" s="37"/>
      <c r="WV34" s="37"/>
      <c r="WW34" s="37"/>
      <c r="WX34" s="37"/>
      <c r="WY34" s="75"/>
      <c r="WZ34" s="37"/>
      <c r="XA34" s="37"/>
      <c r="XB34" s="37"/>
      <c r="XC34" s="37"/>
      <c r="XD34" s="37"/>
      <c r="XE34" s="138"/>
      <c r="XF34" s="37"/>
      <c r="XG34" s="37"/>
      <c r="XH34" s="37"/>
      <c r="XI34" s="37"/>
      <c r="XJ34" s="37"/>
      <c r="XK34" s="75"/>
      <c r="XL34" s="65"/>
      <c r="XM34" s="65"/>
      <c r="XN34" s="65"/>
      <c r="XO34" s="65"/>
      <c r="XP34" s="37"/>
      <c r="XQ34" s="138"/>
      <c r="XR34" s="37"/>
      <c r="XS34" s="37"/>
      <c r="XT34" s="37"/>
      <c r="XU34" s="37"/>
      <c r="XV34" s="37"/>
      <c r="XW34" s="75"/>
      <c r="XX34" s="37"/>
      <c r="XY34" s="37"/>
      <c r="XZ34" s="37"/>
      <c r="YA34" s="37"/>
      <c r="YB34" s="37"/>
      <c r="YC34" s="138"/>
      <c r="YD34" s="37"/>
      <c r="YE34" s="37"/>
      <c r="YF34" s="37"/>
      <c r="YG34" s="37"/>
      <c r="YH34" s="37"/>
      <c r="YI34" s="75"/>
      <c r="YJ34" s="37"/>
      <c r="YK34" s="37"/>
      <c r="YL34" s="37"/>
      <c r="YM34" s="37"/>
      <c r="YN34" s="37"/>
      <c r="YO34" s="38"/>
      <c r="YP34" s="36"/>
      <c r="YQ34" s="65"/>
      <c r="YR34" s="65"/>
      <c r="YS34" s="65"/>
      <c r="YT34" s="37"/>
      <c r="YU34" s="133"/>
      <c r="YV34" s="37"/>
      <c r="YW34" s="37"/>
      <c r="YX34" s="37"/>
      <c r="YY34" s="37"/>
      <c r="YZ34" s="37"/>
      <c r="ZA34" s="138"/>
      <c r="ZB34" s="37"/>
      <c r="ZC34" s="37"/>
      <c r="ZD34" s="37"/>
      <c r="ZE34" s="37"/>
      <c r="ZF34" s="37"/>
      <c r="ZG34" s="75"/>
      <c r="ZH34" s="37"/>
      <c r="ZI34" s="37"/>
      <c r="ZJ34" s="37"/>
      <c r="ZK34" s="37"/>
      <c r="ZL34" s="37"/>
      <c r="ZM34" s="138"/>
      <c r="ZN34" s="37"/>
      <c r="ZO34" s="37"/>
      <c r="ZP34" s="37"/>
      <c r="ZQ34" s="37"/>
      <c r="ZR34" s="37"/>
      <c r="ZS34" s="75"/>
      <c r="ZT34" s="65"/>
      <c r="ZU34" s="65"/>
      <c r="ZV34" s="65"/>
      <c r="ZW34" s="65"/>
      <c r="ZX34" s="37"/>
      <c r="ZY34" s="138"/>
      <c r="ZZ34" s="37"/>
      <c r="AAA34" s="37"/>
      <c r="AAB34" s="37"/>
      <c r="AAC34" s="37"/>
      <c r="AAD34" s="37"/>
      <c r="AAE34" s="75"/>
      <c r="AAF34" s="37"/>
      <c r="AAG34" s="37"/>
      <c r="AAH34" s="37"/>
      <c r="AAI34" s="37"/>
      <c r="AAJ34" s="37"/>
      <c r="AAK34" s="138"/>
      <c r="AAL34" s="37"/>
      <c r="AAM34" s="37"/>
      <c r="AAN34" s="37"/>
      <c r="AAO34" s="37"/>
      <c r="AAP34" s="37"/>
      <c r="AAQ34" s="75"/>
      <c r="AAR34" s="37"/>
      <c r="AAS34" s="37"/>
      <c r="AAT34" s="37"/>
      <c r="AAU34" s="37"/>
      <c r="AAV34" s="37"/>
      <c r="AAW34" s="38"/>
      <c r="AAX34" s="36"/>
      <c r="AAY34" s="65"/>
      <c r="AAZ34" s="65"/>
      <c r="ABA34" s="65"/>
      <c r="ABB34" s="37"/>
      <c r="ABC34" s="133"/>
      <c r="ABD34" s="37"/>
      <c r="ABE34" s="37"/>
      <c r="ABF34" s="37"/>
      <c r="ABG34" s="37"/>
      <c r="ABH34" s="37"/>
      <c r="ABI34" s="138"/>
      <c r="ABJ34" s="37"/>
      <c r="ABK34" s="37"/>
      <c r="ABL34" s="37"/>
      <c r="ABM34" s="37"/>
      <c r="ABN34" s="37"/>
      <c r="ABO34" s="75"/>
      <c r="ABP34" s="37"/>
      <c r="ABQ34" s="37"/>
      <c r="ABR34" s="37"/>
      <c r="ABS34" s="37"/>
      <c r="ABT34" s="37"/>
      <c r="ABU34" s="138"/>
      <c r="ABV34" s="37"/>
      <c r="ABW34" s="37"/>
      <c r="ABX34" s="37"/>
      <c r="ABY34" s="37"/>
      <c r="ABZ34" s="37"/>
      <c r="ACA34" s="75"/>
      <c r="ACB34" s="65"/>
      <c r="ACC34" s="65"/>
      <c r="ACD34" s="65"/>
      <c r="ACE34" s="65"/>
      <c r="ACF34" s="37"/>
      <c r="ACG34" s="138"/>
      <c r="ACH34" s="37"/>
      <c r="ACI34" s="37"/>
      <c r="ACJ34" s="37"/>
      <c r="ACK34" s="37"/>
      <c r="ACL34" s="37"/>
      <c r="ACM34" s="75"/>
      <c r="ACN34" s="37"/>
      <c r="ACO34" s="37"/>
      <c r="ACP34" s="37"/>
      <c r="ACQ34" s="37"/>
      <c r="ACR34" s="37"/>
      <c r="ACS34" s="138"/>
      <c r="ACT34" s="37"/>
      <c r="ACU34" s="37"/>
      <c r="ACV34" s="37"/>
      <c r="ACW34" s="37"/>
      <c r="ACX34" s="37"/>
      <c r="ACY34" s="75"/>
      <c r="ACZ34" s="37"/>
      <c r="ADA34" s="37"/>
      <c r="ADB34" s="37"/>
      <c r="ADC34" s="37"/>
      <c r="ADD34" s="37"/>
      <c r="ADE34" s="38"/>
      <c r="ADF34" s="36"/>
      <c r="ADG34" s="65"/>
      <c r="ADH34" s="65"/>
      <c r="ADI34" s="65"/>
      <c r="ADJ34" s="37"/>
      <c r="ADK34" s="133"/>
      <c r="ADL34" s="37"/>
      <c r="ADM34" s="37"/>
      <c r="ADN34" s="37"/>
      <c r="ADO34" s="37"/>
      <c r="ADP34" s="37"/>
      <c r="ADQ34" s="138"/>
      <c r="ADR34" s="37"/>
      <c r="ADS34" s="37"/>
      <c r="ADT34" s="37"/>
      <c r="ADU34" s="37"/>
      <c r="ADV34" s="37"/>
      <c r="ADW34" s="75"/>
      <c r="ADX34" s="37"/>
      <c r="ADY34" s="37"/>
      <c r="ADZ34" s="37"/>
      <c r="AEA34" s="37"/>
      <c r="AEB34" s="37"/>
      <c r="AEC34" s="138"/>
      <c r="AED34" s="37"/>
      <c r="AEE34" s="37"/>
      <c r="AEF34" s="37"/>
      <c r="AEG34" s="37"/>
      <c r="AEH34" s="37"/>
      <c r="AEI34" s="75"/>
      <c r="AEJ34" s="65"/>
      <c r="AEK34" s="65"/>
      <c r="AEL34" s="65"/>
      <c r="AEM34" s="65"/>
      <c r="AEN34" s="37"/>
      <c r="AEO34" s="138"/>
      <c r="AEP34" s="37"/>
      <c r="AEQ34" s="37"/>
      <c r="AER34" s="37"/>
      <c r="AES34" s="37"/>
      <c r="AET34" s="37"/>
      <c r="AEU34" s="75"/>
      <c r="AEV34" s="37"/>
      <c r="AEW34" s="37"/>
      <c r="AEX34" s="37"/>
      <c r="AEY34" s="37"/>
      <c r="AEZ34" s="37"/>
      <c r="AFA34" s="138"/>
      <c r="AFB34" s="37"/>
      <c r="AFC34" s="37"/>
      <c r="AFD34" s="37"/>
      <c r="AFE34" s="37"/>
      <c r="AFF34" s="37"/>
      <c r="AFG34" s="75"/>
      <c r="AFH34" s="37"/>
      <c r="AFI34" s="37"/>
      <c r="AFJ34" s="37"/>
      <c r="AFK34" s="37"/>
      <c r="AFL34" s="37"/>
      <c r="AFM34" s="38"/>
      <c r="AFN34" s="90"/>
    </row>
    <row r="35" spans="1:846" ht="20.100000000000001" customHeight="1" x14ac:dyDescent="0.25">
      <c r="A35" s="100" t="s">
        <v>20</v>
      </c>
      <c r="B35" s="63" t="str">
        <f>IF(LEN(C55)=0,"",C55)</f>
        <v/>
      </c>
      <c r="C35" s="218" t="s">
        <v>54</v>
      </c>
      <c r="D35" s="146" t="str">
        <f t="shared" si="0"/>
        <v>2h</v>
      </c>
      <c r="E35" s="39">
        <v>24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176"/>
      <c r="EI35" s="176"/>
      <c r="EJ35" s="176"/>
      <c r="EK35" s="176"/>
      <c r="EL35" s="176"/>
      <c r="EM35" s="179"/>
      <c r="EN35" s="176"/>
      <c r="EO35" s="176"/>
      <c r="EP35" s="176"/>
      <c r="EQ35" s="176"/>
      <c r="ER35" s="176"/>
      <c r="ES35" s="178"/>
      <c r="ET35" s="176"/>
      <c r="EU35" s="176"/>
      <c r="EV35" s="176"/>
      <c r="EW35" s="176"/>
      <c r="EX35" s="176"/>
      <c r="EY35" s="179"/>
      <c r="EZ35" s="175"/>
      <c r="FA35" s="175"/>
      <c r="FB35" s="175"/>
      <c r="FC35" s="175"/>
      <c r="FD35" s="176"/>
      <c r="FE35" s="178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40"/>
      <c r="RS35" s="66"/>
      <c r="RT35" s="66"/>
      <c r="RU35" s="66"/>
      <c r="RV35" s="41"/>
      <c r="RW35" s="134"/>
      <c r="RX35" s="41"/>
      <c r="RY35" s="41"/>
      <c r="RZ35" s="41"/>
      <c r="SA35" s="41"/>
      <c r="SB35" s="41"/>
      <c r="SC35" s="139"/>
      <c r="SD35" s="41"/>
      <c r="SE35" s="41"/>
      <c r="SF35" s="41"/>
      <c r="SG35" s="41"/>
      <c r="SH35" s="41"/>
      <c r="SI35" s="76"/>
      <c r="SJ35" s="41"/>
      <c r="SK35" s="41"/>
      <c r="SL35" s="41"/>
      <c r="SM35" s="41"/>
      <c r="SN35" s="41"/>
      <c r="SO35" s="139"/>
      <c r="SP35" s="41"/>
      <c r="SQ35" s="41"/>
      <c r="SR35" s="41"/>
      <c r="SS35" s="41"/>
      <c r="ST35" s="41"/>
      <c r="SU35" s="76"/>
      <c r="SV35" s="66"/>
      <c r="SW35" s="66"/>
      <c r="SX35" s="66"/>
      <c r="SY35" s="66"/>
      <c r="SZ35" s="41"/>
      <c r="TA35" s="139"/>
      <c r="TB35" s="41"/>
      <c r="TC35" s="41"/>
      <c r="TD35" s="41"/>
      <c r="TE35" s="41"/>
      <c r="TF35" s="41"/>
      <c r="TG35" s="76"/>
      <c r="TH35" s="41"/>
      <c r="TI35" s="41"/>
      <c r="TJ35" s="41"/>
      <c r="TK35" s="41"/>
      <c r="TL35" s="41"/>
      <c r="TM35" s="139"/>
      <c r="TN35" s="41"/>
      <c r="TO35" s="41"/>
      <c r="TP35" s="41"/>
      <c r="TQ35" s="41"/>
      <c r="TR35" s="41"/>
      <c r="TS35" s="76"/>
      <c r="TT35" s="41"/>
      <c r="TU35" s="41"/>
      <c r="TV35" s="41"/>
      <c r="TW35" s="41"/>
      <c r="TX35" s="41"/>
      <c r="TY35" s="42"/>
      <c r="TZ35" s="40"/>
      <c r="UA35" s="66"/>
      <c r="UB35" s="66"/>
      <c r="UC35" s="66"/>
      <c r="UD35" s="41"/>
      <c r="UE35" s="134"/>
      <c r="UF35" s="41"/>
      <c r="UG35" s="41"/>
      <c r="UH35" s="41"/>
      <c r="UI35" s="41"/>
      <c r="UJ35" s="41"/>
      <c r="UK35" s="139"/>
      <c r="UL35" s="41"/>
      <c r="UM35" s="41"/>
      <c r="UN35" s="41"/>
      <c r="UO35" s="41"/>
      <c r="UP35" s="41"/>
      <c r="UQ35" s="76"/>
      <c r="UR35" s="41"/>
      <c r="US35" s="41"/>
      <c r="UT35" s="41"/>
      <c r="UU35" s="41"/>
      <c r="UV35" s="41"/>
      <c r="UW35" s="139"/>
      <c r="UX35" s="41"/>
      <c r="UY35" s="41"/>
      <c r="UZ35" s="41"/>
      <c r="VA35" s="41"/>
      <c r="VB35" s="41"/>
      <c r="VC35" s="76"/>
      <c r="VD35" s="66"/>
      <c r="VE35" s="66"/>
      <c r="VF35" s="66"/>
      <c r="VG35" s="66"/>
      <c r="VH35" s="41"/>
      <c r="VI35" s="139"/>
      <c r="VJ35" s="41"/>
      <c r="VK35" s="41"/>
      <c r="VL35" s="41"/>
      <c r="VM35" s="41"/>
      <c r="VN35" s="41"/>
      <c r="VO35" s="76"/>
      <c r="VP35" s="41"/>
      <c r="VQ35" s="41"/>
      <c r="VR35" s="41"/>
      <c r="VS35" s="41"/>
      <c r="VT35" s="41"/>
      <c r="VU35" s="139"/>
      <c r="VV35" s="41"/>
      <c r="VW35" s="41"/>
      <c r="VX35" s="41"/>
      <c r="VY35" s="41"/>
      <c r="VZ35" s="41"/>
      <c r="WA35" s="76"/>
      <c r="WB35" s="41"/>
      <c r="WC35" s="41"/>
      <c r="WD35" s="41"/>
      <c r="WE35" s="41"/>
      <c r="WF35" s="41"/>
      <c r="WG35" s="42"/>
      <c r="WH35" s="40"/>
      <c r="WI35" s="66"/>
      <c r="WJ35" s="66"/>
      <c r="WK35" s="66"/>
      <c r="WL35" s="41"/>
      <c r="WM35" s="134"/>
      <c r="WN35" s="41"/>
      <c r="WO35" s="41"/>
      <c r="WP35" s="41"/>
      <c r="WQ35" s="41"/>
      <c r="WR35" s="41"/>
      <c r="WS35" s="139"/>
      <c r="WT35" s="41"/>
      <c r="WU35" s="41"/>
      <c r="WV35" s="41"/>
      <c r="WW35" s="41"/>
      <c r="WX35" s="41"/>
      <c r="WY35" s="76"/>
      <c r="WZ35" s="41"/>
      <c r="XA35" s="41"/>
      <c r="XB35" s="41"/>
      <c r="XC35" s="41"/>
      <c r="XD35" s="41"/>
      <c r="XE35" s="139"/>
      <c r="XF35" s="41"/>
      <c r="XG35" s="41"/>
      <c r="XH35" s="41"/>
      <c r="XI35" s="41"/>
      <c r="XJ35" s="41"/>
      <c r="XK35" s="76"/>
      <c r="XL35" s="66"/>
      <c r="XM35" s="66"/>
      <c r="XN35" s="66"/>
      <c r="XO35" s="66"/>
      <c r="XP35" s="41"/>
      <c r="XQ35" s="139"/>
      <c r="XR35" s="41"/>
      <c r="XS35" s="41"/>
      <c r="XT35" s="41"/>
      <c r="XU35" s="41"/>
      <c r="XV35" s="41"/>
      <c r="XW35" s="76"/>
      <c r="XX35" s="41"/>
      <c r="XY35" s="41"/>
      <c r="XZ35" s="41"/>
      <c r="YA35" s="41"/>
      <c r="YB35" s="41"/>
      <c r="YC35" s="139"/>
      <c r="YD35" s="41"/>
      <c r="YE35" s="41"/>
      <c r="YF35" s="41"/>
      <c r="YG35" s="41"/>
      <c r="YH35" s="41"/>
      <c r="YI35" s="76"/>
      <c r="YJ35" s="41"/>
      <c r="YK35" s="41"/>
      <c r="YL35" s="41"/>
      <c r="YM35" s="41"/>
      <c r="YN35" s="41"/>
      <c r="YO35" s="42"/>
      <c r="YP35" s="40"/>
      <c r="YQ35" s="66"/>
      <c r="YR35" s="66"/>
      <c r="YS35" s="66"/>
      <c r="YT35" s="41"/>
      <c r="YU35" s="134"/>
      <c r="YV35" s="41"/>
      <c r="YW35" s="41"/>
      <c r="YX35" s="41"/>
      <c r="YY35" s="41"/>
      <c r="YZ35" s="41"/>
      <c r="ZA35" s="139"/>
      <c r="ZB35" s="41"/>
      <c r="ZC35" s="41"/>
      <c r="ZD35" s="41"/>
      <c r="ZE35" s="41"/>
      <c r="ZF35" s="41"/>
      <c r="ZG35" s="76"/>
      <c r="ZH35" s="41"/>
      <c r="ZI35" s="41"/>
      <c r="ZJ35" s="41"/>
      <c r="ZK35" s="41"/>
      <c r="ZL35" s="41"/>
      <c r="ZM35" s="139"/>
      <c r="ZN35" s="41"/>
      <c r="ZO35" s="41"/>
      <c r="ZP35" s="41"/>
      <c r="ZQ35" s="41"/>
      <c r="ZR35" s="41"/>
      <c r="ZS35" s="76"/>
      <c r="ZT35" s="66"/>
      <c r="ZU35" s="66"/>
      <c r="ZV35" s="66"/>
      <c r="ZW35" s="66"/>
      <c r="ZX35" s="41"/>
      <c r="ZY35" s="139"/>
      <c r="ZZ35" s="41"/>
      <c r="AAA35" s="41"/>
      <c r="AAB35" s="41"/>
      <c r="AAC35" s="41"/>
      <c r="AAD35" s="41"/>
      <c r="AAE35" s="76"/>
      <c r="AAF35" s="41"/>
      <c r="AAG35" s="41"/>
      <c r="AAH35" s="41"/>
      <c r="AAI35" s="41"/>
      <c r="AAJ35" s="41"/>
      <c r="AAK35" s="139"/>
      <c r="AAL35" s="41"/>
      <c r="AAM35" s="41"/>
      <c r="AAN35" s="41"/>
      <c r="AAO35" s="41"/>
      <c r="AAP35" s="41"/>
      <c r="AAQ35" s="76"/>
      <c r="AAR35" s="41"/>
      <c r="AAS35" s="41"/>
      <c r="AAT35" s="41"/>
      <c r="AAU35" s="41"/>
      <c r="AAV35" s="41"/>
      <c r="AAW35" s="42"/>
      <c r="AAX35" s="40"/>
      <c r="AAY35" s="66"/>
      <c r="AAZ35" s="66"/>
      <c r="ABA35" s="66"/>
      <c r="ABB35" s="41"/>
      <c r="ABC35" s="134"/>
      <c r="ABD35" s="41"/>
      <c r="ABE35" s="41"/>
      <c r="ABF35" s="41"/>
      <c r="ABG35" s="41"/>
      <c r="ABH35" s="41"/>
      <c r="ABI35" s="139"/>
      <c r="ABJ35" s="41"/>
      <c r="ABK35" s="41"/>
      <c r="ABL35" s="41"/>
      <c r="ABM35" s="41"/>
      <c r="ABN35" s="41"/>
      <c r="ABO35" s="76"/>
      <c r="ABP35" s="41"/>
      <c r="ABQ35" s="41"/>
      <c r="ABR35" s="41"/>
      <c r="ABS35" s="41"/>
      <c r="ABT35" s="41"/>
      <c r="ABU35" s="139"/>
      <c r="ABV35" s="41"/>
      <c r="ABW35" s="41"/>
      <c r="ABX35" s="41"/>
      <c r="ABY35" s="41"/>
      <c r="ABZ35" s="41"/>
      <c r="ACA35" s="76"/>
      <c r="ACB35" s="66"/>
      <c r="ACC35" s="66"/>
      <c r="ACD35" s="66"/>
      <c r="ACE35" s="66"/>
      <c r="ACF35" s="41"/>
      <c r="ACG35" s="139"/>
      <c r="ACH35" s="41"/>
      <c r="ACI35" s="41"/>
      <c r="ACJ35" s="41"/>
      <c r="ACK35" s="41"/>
      <c r="ACL35" s="41"/>
      <c r="ACM35" s="76"/>
      <c r="ACN35" s="41"/>
      <c r="ACO35" s="41"/>
      <c r="ACP35" s="41"/>
      <c r="ACQ35" s="41"/>
      <c r="ACR35" s="41"/>
      <c r="ACS35" s="139"/>
      <c r="ACT35" s="41"/>
      <c r="ACU35" s="41"/>
      <c r="ACV35" s="41"/>
      <c r="ACW35" s="41"/>
      <c r="ACX35" s="41"/>
      <c r="ACY35" s="76"/>
      <c r="ACZ35" s="41"/>
      <c r="ADA35" s="41"/>
      <c r="ADB35" s="41"/>
      <c r="ADC35" s="41"/>
      <c r="ADD35" s="41"/>
      <c r="ADE35" s="42"/>
      <c r="ADF35" s="40"/>
      <c r="ADG35" s="66"/>
      <c r="ADH35" s="66"/>
      <c r="ADI35" s="66"/>
      <c r="ADJ35" s="41"/>
      <c r="ADK35" s="134"/>
      <c r="ADL35" s="41"/>
      <c r="ADM35" s="41"/>
      <c r="ADN35" s="41"/>
      <c r="ADO35" s="41"/>
      <c r="ADP35" s="41"/>
      <c r="ADQ35" s="139"/>
      <c r="ADR35" s="41"/>
      <c r="ADS35" s="41"/>
      <c r="ADT35" s="41"/>
      <c r="ADU35" s="41"/>
      <c r="ADV35" s="41"/>
      <c r="ADW35" s="76"/>
      <c r="ADX35" s="41"/>
      <c r="ADY35" s="41"/>
      <c r="ADZ35" s="41"/>
      <c r="AEA35" s="41"/>
      <c r="AEB35" s="41"/>
      <c r="AEC35" s="139"/>
      <c r="AED35" s="41"/>
      <c r="AEE35" s="41"/>
      <c r="AEF35" s="41"/>
      <c r="AEG35" s="41"/>
      <c r="AEH35" s="41"/>
      <c r="AEI35" s="76"/>
      <c r="AEJ35" s="66"/>
      <c r="AEK35" s="66"/>
      <c r="AEL35" s="66"/>
      <c r="AEM35" s="66"/>
      <c r="AEN35" s="41"/>
      <c r="AEO35" s="139"/>
      <c r="AEP35" s="41"/>
      <c r="AEQ35" s="41"/>
      <c r="AER35" s="41"/>
      <c r="AES35" s="41"/>
      <c r="AET35" s="41"/>
      <c r="AEU35" s="76"/>
      <c r="AEV35" s="41"/>
      <c r="AEW35" s="41"/>
      <c r="AEX35" s="41"/>
      <c r="AEY35" s="41"/>
      <c r="AEZ35" s="41"/>
      <c r="AFA35" s="139"/>
      <c r="AFB35" s="41"/>
      <c r="AFC35" s="41"/>
      <c r="AFD35" s="41"/>
      <c r="AFE35" s="41"/>
      <c r="AFF35" s="41"/>
      <c r="AFG35" s="76"/>
      <c r="AFH35" s="41"/>
      <c r="AFI35" s="41"/>
      <c r="AFJ35" s="41"/>
      <c r="AFK35" s="41"/>
      <c r="AFL35" s="41"/>
      <c r="AFM35" s="42"/>
      <c r="AFN35" s="90"/>
    </row>
    <row r="36" spans="1:846" ht="20.100000000000001" customHeight="1" x14ac:dyDescent="0.25">
      <c r="A36" s="100" t="s">
        <v>21</v>
      </c>
      <c r="B36" s="63" t="str">
        <f>IF(LEN(C57)=0,"",C57)</f>
        <v/>
      </c>
      <c r="C36" s="220"/>
      <c r="D36" s="147" t="str">
        <f t="shared" si="0"/>
        <v>4h30min</v>
      </c>
      <c r="E36" s="27">
        <v>54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186"/>
      <c r="DW36" s="187"/>
      <c r="DX36" s="187"/>
      <c r="DY36" s="187"/>
      <c r="DZ36" s="188"/>
      <c r="EA36" s="189"/>
      <c r="EB36" s="188"/>
      <c r="EC36" s="188"/>
      <c r="ED36" s="188"/>
      <c r="EE36" s="188"/>
      <c r="EF36" s="188"/>
      <c r="EG36" s="190"/>
      <c r="EH36" s="188"/>
      <c r="EI36" s="188"/>
      <c r="EJ36" s="188"/>
      <c r="EK36" s="188"/>
      <c r="EL36" s="188"/>
      <c r="EM36" s="191"/>
      <c r="EN36" s="188"/>
      <c r="EO36" s="188"/>
      <c r="EP36" s="188"/>
      <c r="EQ36" s="188"/>
      <c r="ER36" s="188"/>
      <c r="ES36" s="190"/>
      <c r="ET36" s="188"/>
      <c r="EU36" s="188"/>
      <c r="EV36" s="188"/>
      <c r="EW36" s="188"/>
      <c r="EX36" s="188"/>
      <c r="EY36" s="191"/>
      <c r="EZ36" s="187"/>
      <c r="FA36" s="187"/>
      <c r="FB36" s="187"/>
      <c r="FC36" s="187"/>
      <c r="FD36" s="188"/>
      <c r="FE36" s="190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188"/>
      <c r="JE36" s="188"/>
      <c r="JF36" s="188"/>
      <c r="JG36" s="188"/>
      <c r="JH36" s="188"/>
      <c r="JI36" s="190"/>
      <c r="JJ36" s="188"/>
      <c r="JK36" s="188"/>
      <c r="JL36" s="188"/>
      <c r="JM36" s="188"/>
      <c r="JN36" s="188"/>
      <c r="JO36" s="191"/>
      <c r="JP36" s="187"/>
      <c r="JQ36" s="187"/>
      <c r="JR36" s="187"/>
      <c r="JS36" s="187"/>
      <c r="JT36" s="188"/>
      <c r="JU36" s="190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28"/>
      <c r="RS36" s="67"/>
      <c r="RT36" s="67"/>
      <c r="RU36" s="67"/>
      <c r="RV36" s="29"/>
      <c r="RW36" s="131"/>
      <c r="RX36" s="29"/>
      <c r="RY36" s="29"/>
      <c r="RZ36" s="29"/>
      <c r="SA36" s="29"/>
      <c r="SB36" s="29"/>
      <c r="SC36" s="136"/>
      <c r="SD36" s="29"/>
      <c r="SE36" s="29"/>
      <c r="SF36" s="29"/>
      <c r="SG36" s="29"/>
      <c r="SH36" s="29"/>
      <c r="SI36" s="73"/>
      <c r="SJ36" s="29"/>
      <c r="SK36" s="29"/>
      <c r="SL36" s="29"/>
      <c r="SM36" s="29"/>
      <c r="SN36" s="29"/>
      <c r="SO36" s="136"/>
      <c r="SP36" s="29"/>
      <c r="SQ36" s="29"/>
      <c r="SR36" s="29"/>
      <c r="SS36" s="29"/>
      <c r="ST36" s="29"/>
      <c r="SU36" s="73"/>
      <c r="SV36" s="67"/>
      <c r="SW36" s="67"/>
      <c r="SX36" s="67"/>
      <c r="SY36" s="67"/>
      <c r="SZ36" s="29"/>
      <c r="TA36" s="136"/>
      <c r="TB36" s="29"/>
      <c r="TC36" s="29"/>
      <c r="TD36" s="29"/>
      <c r="TE36" s="29"/>
      <c r="TF36" s="29"/>
      <c r="TG36" s="73"/>
      <c r="TH36" s="29"/>
      <c r="TI36" s="29"/>
      <c r="TJ36" s="29"/>
      <c r="TK36" s="29"/>
      <c r="TL36" s="29"/>
      <c r="TM36" s="136"/>
      <c r="TN36" s="29"/>
      <c r="TO36" s="29"/>
      <c r="TP36" s="29"/>
      <c r="TQ36" s="29"/>
      <c r="TR36" s="29"/>
      <c r="TS36" s="73"/>
      <c r="TT36" s="29"/>
      <c r="TU36" s="29"/>
      <c r="TV36" s="29"/>
      <c r="TW36" s="29"/>
      <c r="TX36" s="29"/>
      <c r="TY36" s="30"/>
      <c r="TZ36" s="28"/>
      <c r="UA36" s="67"/>
      <c r="UB36" s="67"/>
      <c r="UC36" s="67"/>
      <c r="UD36" s="29"/>
      <c r="UE36" s="131"/>
      <c r="UF36" s="29"/>
      <c r="UG36" s="29"/>
      <c r="UH36" s="29"/>
      <c r="UI36" s="29"/>
      <c r="UJ36" s="29"/>
      <c r="UK36" s="136"/>
      <c r="UL36" s="29"/>
      <c r="UM36" s="29"/>
      <c r="UN36" s="29"/>
      <c r="UO36" s="29"/>
      <c r="UP36" s="29"/>
      <c r="UQ36" s="73"/>
      <c r="UR36" s="29"/>
      <c r="US36" s="29"/>
      <c r="UT36" s="29"/>
      <c r="UU36" s="29"/>
      <c r="UV36" s="29"/>
      <c r="UW36" s="136"/>
      <c r="UX36" s="29"/>
      <c r="UY36" s="29"/>
      <c r="UZ36" s="29"/>
      <c r="VA36" s="29"/>
      <c r="VB36" s="29"/>
      <c r="VC36" s="73"/>
      <c r="VD36" s="67"/>
      <c r="VE36" s="67"/>
      <c r="VF36" s="67"/>
      <c r="VG36" s="67"/>
      <c r="VH36" s="29"/>
      <c r="VI36" s="136"/>
      <c r="VJ36" s="29"/>
      <c r="VK36" s="29"/>
      <c r="VL36" s="29"/>
      <c r="VM36" s="29"/>
      <c r="VN36" s="29"/>
      <c r="VO36" s="73"/>
      <c r="VP36" s="29"/>
      <c r="VQ36" s="29"/>
      <c r="VR36" s="29"/>
      <c r="VS36" s="29"/>
      <c r="VT36" s="29"/>
      <c r="VU36" s="136"/>
      <c r="VV36" s="29"/>
      <c r="VW36" s="29"/>
      <c r="VX36" s="29"/>
      <c r="VY36" s="29"/>
      <c r="VZ36" s="29"/>
      <c r="WA36" s="73"/>
      <c r="WB36" s="29"/>
      <c r="WC36" s="29"/>
      <c r="WD36" s="29"/>
      <c r="WE36" s="29"/>
      <c r="WF36" s="29"/>
      <c r="WG36" s="30"/>
      <c r="WH36" s="28"/>
      <c r="WI36" s="67"/>
      <c r="WJ36" s="67"/>
      <c r="WK36" s="67"/>
      <c r="WL36" s="29"/>
      <c r="WM36" s="131"/>
      <c r="WN36" s="29"/>
      <c r="WO36" s="29"/>
      <c r="WP36" s="29"/>
      <c r="WQ36" s="29"/>
      <c r="WR36" s="29"/>
      <c r="WS36" s="136"/>
      <c r="WT36" s="29"/>
      <c r="WU36" s="29"/>
      <c r="WV36" s="29"/>
      <c r="WW36" s="29"/>
      <c r="WX36" s="29"/>
      <c r="WY36" s="73"/>
      <c r="WZ36" s="29"/>
      <c r="XA36" s="29"/>
      <c r="XB36" s="29"/>
      <c r="XC36" s="29"/>
      <c r="XD36" s="29"/>
      <c r="XE36" s="136"/>
      <c r="XF36" s="29"/>
      <c r="XG36" s="29"/>
      <c r="XH36" s="29"/>
      <c r="XI36" s="29"/>
      <c r="XJ36" s="29"/>
      <c r="XK36" s="73"/>
      <c r="XL36" s="67"/>
      <c r="XM36" s="67"/>
      <c r="XN36" s="67"/>
      <c r="XO36" s="67"/>
      <c r="XP36" s="29"/>
      <c r="XQ36" s="136"/>
      <c r="XR36" s="29"/>
      <c r="XS36" s="29"/>
      <c r="XT36" s="29"/>
      <c r="XU36" s="29"/>
      <c r="XV36" s="29"/>
      <c r="XW36" s="73"/>
      <c r="XX36" s="29"/>
      <c r="XY36" s="29"/>
      <c r="XZ36" s="29"/>
      <c r="YA36" s="29"/>
      <c r="YB36" s="29"/>
      <c r="YC36" s="136"/>
      <c r="YD36" s="29"/>
      <c r="YE36" s="29"/>
      <c r="YF36" s="29"/>
      <c r="YG36" s="29"/>
      <c r="YH36" s="29"/>
      <c r="YI36" s="73"/>
      <c r="YJ36" s="29"/>
      <c r="YK36" s="29"/>
      <c r="YL36" s="29"/>
      <c r="YM36" s="29"/>
      <c r="YN36" s="29"/>
      <c r="YO36" s="30"/>
      <c r="YP36" s="28"/>
      <c r="YQ36" s="67"/>
      <c r="YR36" s="67"/>
      <c r="YS36" s="67"/>
      <c r="YT36" s="29"/>
      <c r="YU36" s="131"/>
      <c r="YV36" s="29"/>
      <c r="YW36" s="29"/>
      <c r="YX36" s="29"/>
      <c r="YY36" s="29"/>
      <c r="YZ36" s="29"/>
      <c r="ZA36" s="136"/>
      <c r="ZB36" s="29"/>
      <c r="ZC36" s="29"/>
      <c r="ZD36" s="29"/>
      <c r="ZE36" s="29"/>
      <c r="ZF36" s="29"/>
      <c r="ZG36" s="73"/>
      <c r="ZH36" s="29"/>
      <c r="ZI36" s="29"/>
      <c r="ZJ36" s="29"/>
      <c r="ZK36" s="29"/>
      <c r="ZL36" s="29"/>
      <c r="ZM36" s="136"/>
      <c r="ZN36" s="29"/>
      <c r="ZO36" s="29"/>
      <c r="ZP36" s="29"/>
      <c r="ZQ36" s="29"/>
      <c r="ZR36" s="29"/>
      <c r="ZS36" s="73"/>
      <c r="ZT36" s="67"/>
      <c r="ZU36" s="67"/>
      <c r="ZV36" s="67"/>
      <c r="ZW36" s="67"/>
      <c r="ZX36" s="29"/>
      <c r="ZY36" s="136"/>
      <c r="ZZ36" s="29"/>
      <c r="AAA36" s="29"/>
      <c r="AAB36" s="29"/>
      <c r="AAC36" s="29"/>
      <c r="AAD36" s="29"/>
      <c r="AAE36" s="73"/>
      <c r="AAF36" s="29"/>
      <c r="AAG36" s="29"/>
      <c r="AAH36" s="29"/>
      <c r="AAI36" s="29"/>
      <c r="AAJ36" s="29"/>
      <c r="AAK36" s="136"/>
      <c r="AAL36" s="29"/>
      <c r="AAM36" s="29"/>
      <c r="AAN36" s="29"/>
      <c r="AAO36" s="29"/>
      <c r="AAP36" s="29"/>
      <c r="AAQ36" s="73"/>
      <c r="AAR36" s="29"/>
      <c r="AAS36" s="29"/>
      <c r="AAT36" s="29"/>
      <c r="AAU36" s="29"/>
      <c r="AAV36" s="29"/>
      <c r="AAW36" s="30"/>
      <c r="AAX36" s="28"/>
      <c r="AAY36" s="67"/>
      <c r="AAZ36" s="67"/>
      <c r="ABA36" s="67"/>
      <c r="ABB36" s="29"/>
      <c r="ABC36" s="131"/>
      <c r="ABD36" s="29"/>
      <c r="ABE36" s="29"/>
      <c r="ABF36" s="29"/>
      <c r="ABG36" s="29"/>
      <c r="ABH36" s="29"/>
      <c r="ABI36" s="136"/>
      <c r="ABJ36" s="29"/>
      <c r="ABK36" s="29"/>
      <c r="ABL36" s="29"/>
      <c r="ABM36" s="29"/>
      <c r="ABN36" s="29"/>
      <c r="ABO36" s="73"/>
      <c r="ABP36" s="29"/>
      <c r="ABQ36" s="29"/>
      <c r="ABR36" s="29"/>
      <c r="ABS36" s="29"/>
      <c r="ABT36" s="29"/>
      <c r="ABU36" s="136"/>
      <c r="ABV36" s="29"/>
      <c r="ABW36" s="29"/>
      <c r="ABX36" s="29"/>
      <c r="ABY36" s="29"/>
      <c r="ABZ36" s="29"/>
      <c r="ACA36" s="73"/>
      <c r="ACB36" s="67"/>
      <c r="ACC36" s="67"/>
      <c r="ACD36" s="67"/>
      <c r="ACE36" s="67"/>
      <c r="ACF36" s="29"/>
      <c r="ACG36" s="136"/>
      <c r="ACH36" s="29"/>
      <c r="ACI36" s="29"/>
      <c r="ACJ36" s="29"/>
      <c r="ACK36" s="29"/>
      <c r="ACL36" s="29"/>
      <c r="ACM36" s="73"/>
      <c r="ACN36" s="29"/>
      <c r="ACO36" s="29"/>
      <c r="ACP36" s="29"/>
      <c r="ACQ36" s="29"/>
      <c r="ACR36" s="29"/>
      <c r="ACS36" s="136"/>
      <c r="ACT36" s="29"/>
      <c r="ACU36" s="29"/>
      <c r="ACV36" s="29"/>
      <c r="ACW36" s="29"/>
      <c r="ACX36" s="29"/>
      <c r="ACY36" s="73"/>
      <c r="ACZ36" s="29"/>
      <c r="ADA36" s="29"/>
      <c r="ADB36" s="29"/>
      <c r="ADC36" s="29"/>
      <c r="ADD36" s="29"/>
      <c r="ADE36" s="30"/>
      <c r="ADF36" s="28"/>
      <c r="ADG36" s="67"/>
      <c r="ADH36" s="67"/>
      <c r="ADI36" s="67"/>
      <c r="ADJ36" s="29"/>
      <c r="ADK36" s="131"/>
      <c r="ADL36" s="29"/>
      <c r="ADM36" s="29"/>
      <c r="ADN36" s="29"/>
      <c r="ADO36" s="29"/>
      <c r="ADP36" s="29"/>
      <c r="ADQ36" s="136"/>
      <c r="ADR36" s="29"/>
      <c r="ADS36" s="29"/>
      <c r="ADT36" s="29"/>
      <c r="ADU36" s="29"/>
      <c r="ADV36" s="29"/>
      <c r="ADW36" s="73"/>
      <c r="ADX36" s="29"/>
      <c r="ADY36" s="29"/>
      <c r="ADZ36" s="29"/>
      <c r="AEA36" s="29"/>
      <c r="AEB36" s="29"/>
      <c r="AEC36" s="136"/>
      <c r="AED36" s="29"/>
      <c r="AEE36" s="29"/>
      <c r="AEF36" s="29"/>
      <c r="AEG36" s="29"/>
      <c r="AEH36" s="29"/>
      <c r="AEI36" s="73"/>
      <c r="AEJ36" s="67"/>
      <c r="AEK36" s="67"/>
      <c r="AEL36" s="67"/>
      <c r="AEM36" s="67"/>
      <c r="AEN36" s="29"/>
      <c r="AEO36" s="136"/>
      <c r="AEP36" s="29"/>
      <c r="AEQ36" s="29"/>
      <c r="AER36" s="29"/>
      <c r="AES36" s="29"/>
      <c r="AET36" s="29"/>
      <c r="AEU36" s="73"/>
      <c r="AEV36" s="29"/>
      <c r="AEW36" s="29"/>
      <c r="AEX36" s="29"/>
      <c r="AEY36" s="29"/>
      <c r="AEZ36" s="29"/>
      <c r="AFA36" s="136"/>
      <c r="AFB36" s="29"/>
      <c r="AFC36" s="29"/>
      <c r="AFD36" s="29"/>
      <c r="AFE36" s="29"/>
      <c r="AFF36" s="29"/>
      <c r="AFG36" s="73"/>
      <c r="AFH36" s="29"/>
      <c r="AFI36" s="29"/>
      <c r="AFJ36" s="29"/>
      <c r="AFK36" s="29"/>
      <c r="AFL36" s="29"/>
      <c r="AFM36" s="30"/>
      <c r="AFN36" s="90"/>
    </row>
    <row r="37" spans="1:846" ht="20.100000000000001" customHeight="1" x14ac:dyDescent="0.25">
      <c r="A37" s="100" t="s">
        <v>20</v>
      </c>
      <c r="B37" s="63" t="str">
        <f>IF(LEN(C59)=0,"",C59)</f>
        <v/>
      </c>
      <c r="C37" s="218" t="s">
        <v>86</v>
      </c>
      <c r="D37" s="146" t="str">
        <f t="shared" si="0"/>
        <v>6h45min</v>
      </c>
      <c r="E37" s="31">
        <v>81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168"/>
      <c r="RS37" s="169"/>
      <c r="RT37" s="169"/>
      <c r="RU37" s="169"/>
      <c r="RV37" s="170"/>
      <c r="RW37" s="171"/>
      <c r="RX37" s="170"/>
      <c r="RY37" s="170"/>
      <c r="RZ37" s="170"/>
      <c r="SA37" s="170"/>
      <c r="SB37" s="170"/>
      <c r="SC37" s="172"/>
      <c r="SD37" s="170"/>
      <c r="SE37" s="170"/>
      <c r="SF37" s="170"/>
      <c r="SG37" s="170"/>
      <c r="SH37" s="170"/>
      <c r="SI37" s="173"/>
      <c r="SJ37" s="170"/>
      <c r="SK37" s="170"/>
      <c r="SL37" s="170"/>
      <c r="SM37" s="170"/>
      <c r="SN37" s="170"/>
      <c r="SO37" s="172"/>
      <c r="SP37" s="170"/>
      <c r="SQ37" s="170"/>
      <c r="SR37" s="170"/>
      <c r="SS37" s="170"/>
      <c r="ST37" s="170"/>
      <c r="SU37" s="173"/>
      <c r="SV37" s="169"/>
      <c r="SW37" s="169"/>
      <c r="SX37" s="169"/>
      <c r="SY37" s="169"/>
      <c r="SZ37" s="170"/>
      <c r="TA37" s="172"/>
      <c r="TB37" s="170"/>
      <c r="TC37" s="170"/>
      <c r="TD37" s="170"/>
      <c r="TE37" s="170"/>
      <c r="TF37" s="170"/>
      <c r="TG37" s="173"/>
      <c r="TH37" s="170"/>
      <c r="TI37" s="170"/>
      <c r="TJ37" s="170"/>
      <c r="TK37" s="33"/>
      <c r="TL37" s="33"/>
      <c r="TM37" s="137"/>
      <c r="TN37" s="33"/>
      <c r="TO37" s="33"/>
      <c r="TP37" s="33"/>
      <c r="TQ37" s="33"/>
      <c r="TR37" s="33"/>
      <c r="TS37" s="74"/>
      <c r="TT37" s="33"/>
      <c r="TU37" s="33"/>
      <c r="TV37" s="33"/>
      <c r="TW37" s="33"/>
      <c r="TX37" s="33"/>
      <c r="TY37" s="34"/>
      <c r="TZ37" s="168"/>
      <c r="UA37" s="169"/>
      <c r="UB37" s="169"/>
      <c r="UC37" s="169"/>
      <c r="UD37" s="170"/>
      <c r="UE37" s="171"/>
      <c r="UF37" s="170"/>
      <c r="UG37" s="170"/>
      <c r="UH37" s="170"/>
      <c r="UI37" s="170"/>
      <c r="UJ37" s="170"/>
      <c r="UK37" s="172"/>
      <c r="UL37" s="170"/>
      <c r="UM37" s="170"/>
      <c r="UN37" s="170"/>
      <c r="UO37" s="170"/>
      <c r="UP37" s="170"/>
      <c r="UQ37" s="173"/>
      <c r="UR37" s="170"/>
      <c r="US37" s="170"/>
      <c r="UT37" s="170"/>
      <c r="UU37" s="170"/>
      <c r="UV37" s="170"/>
      <c r="UW37" s="172"/>
      <c r="UX37" s="170"/>
      <c r="UY37" s="170"/>
      <c r="UZ37" s="170"/>
      <c r="VA37" s="170"/>
      <c r="VB37" s="170"/>
      <c r="VC37" s="173"/>
      <c r="VD37" s="169"/>
      <c r="VE37" s="169"/>
      <c r="VF37" s="169"/>
      <c r="VG37" s="169"/>
      <c r="VH37" s="170"/>
      <c r="VI37" s="172"/>
      <c r="VJ37" s="33"/>
      <c r="VK37" s="33"/>
      <c r="VL37" s="33"/>
      <c r="VM37" s="33"/>
      <c r="VN37" s="33"/>
      <c r="VO37" s="74"/>
      <c r="VP37" s="33"/>
      <c r="VQ37" s="33"/>
      <c r="VR37" s="33"/>
      <c r="VS37" s="33"/>
      <c r="VT37" s="33"/>
      <c r="VU37" s="137"/>
      <c r="VV37" s="33"/>
      <c r="VW37" s="33"/>
      <c r="VX37" s="33"/>
      <c r="VY37" s="33"/>
      <c r="VZ37" s="33"/>
      <c r="WA37" s="74"/>
      <c r="WB37" s="33"/>
      <c r="WC37" s="33"/>
      <c r="WD37" s="33"/>
      <c r="WE37" s="33"/>
      <c r="WF37" s="33"/>
      <c r="WG37" s="34"/>
      <c r="WH37" s="32"/>
      <c r="WI37" s="64"/>
      <c r="WJ37" s="64"/>
      <c r="WK37" s="64"/>
      <c r="WL37" s="33"/>
      <c r="WM37" s="132"/>
      <c r="WN37" s="33"/>
      <c r="WO37" s="33"/>
      <c r="WP37" s="33"/>
      <c r="WQ37" s="33"/>
      <c r="WR37" s="33"/>
      <c r="WS37" s="137"/>
      <c r="WT37" s="33"/>
      <c r="WU37" s="33"/>
      <c r="WV37" s="33"/>
      <c r="WW37" s="33"/>
      <c r="WX37" s="33"/>
      <c r="WY37" s="74"/>
      <c r="WZ37" s="33"/>
      <c r="XA37" s="33"/>
      <c r="XB37" s="33"/>
      <c r="XC37" s="33"/>
      <c r="XD37" s="33"/>
      <c r="XE37" s="137"/>
      <c r="XF37" s="33"/>
      <c r="XG37" s="33"/>
      <c r="XH37" s="33"/>
      <c r="XI37" s="33"/>
      <c r="XJ37" s="33"/>
      <c r="XK37" s="74"/>
      <c r="XL37" s="64"/>
      <c r="XM37" s="64"/>
      <c r="XN37" s="64"/>
      <c r="XO37" s="64"/>
      <c r="XP37" s="33"/>
      <c r="XQ37" s="137"/>
      <c r="XR37" s="33"/>
      <c r="XS37" s="33"/>
      <c r="XT37" s="33"/>
      <c r="XU37" s="33"/>
      <c r="XV37" s="33"/>
      <c r="XW37" s="74"/>
      <c r="XX37" s="33"/>
      <c r="XY37" s="33"/>
      <c r="XZ37" s="33"/>
      <c r="YA37" s="33"/>
      <c r="YB37" s="33"/>
      <c r="YC37" s="137"/>
      <c r="YD37" s="33"/>
      <c r="YE37" s="33"/>
      <c r="YF37" s="33"/>
      <c r="YG37" s="33"/>
      <c r="YH37" s="33"/>
      <c r="YI37" s="74"/>
      <c r="YJ37" s="33"/>
      <c r="YK37" s="33"/>
      <c r="YL37" s="33"/>
      <c r="YM37" s="33"/>
      <c r="YN37" s="33"/>
      <c r="YO37" s="34"/>
      <c r="YP37" s="32"/>
      <c r="YQ37" s="64"/>
      <c r="YR37" s="64"/>
      <c r="YS37" s="64"/>
      <c r="YT37" s="33"/>
      <c r="YU37" s="132"/>
      <c r="YV37" s="33"/>
      <c r="YW37" s="33"/>
      <c r="YX37" s="33"/>
      <c r="YY37" s="33"/>
      <c r="YZ37" s="33"/>
      <c r="ZA37" s="137"/>
      <c r="ZB37" s="33"/>
      <c r="ZC37" s="33"/>
      <c r="ZD37" s="33"/>
      <c r="ZE37" s="33"/>
      <c r="ZF37" s="33"/>
      <c r="ZG37" s="74"/>
      <c r="ZH37" s="33"/>
      <c r="ZI37" s="33"/>
      <c r="ZJ37" s="33"/>
      <c r="ZK37" s="33"/>
      <c r="ZL37" s="33"/>
      <c r="ZM37" s="137"/>
      <c r="ZN37" s="33"/>
      <c r="ZO37" s="33"/>
      <c r="ZP37" s="33"/>
      <c r="ZQ37" s="33"/>
      <c r="ZR37" s="33"/>
      <c r="ZS37" s="74"/>
      <c r="ZT37" s="64"/>
      <c r="ZU37" s="64"/>
      <c r="ZV37" s="64"/>
      <c r="ZW37" s="64"/>
      <c r="ZX37" s="33"/>
      <c r="ZY37" s="137"/>
      <c r="ZZ37" s="33"/>
      <c r="AAA37" s="33"/>
      <c r="AAB37" s="33"/>
      <c r="AAC37" s="33"/>
      <c r="AAD37" s="33"/>
      <c r="AAE37" s="74"/>
      <c r="AAF37" s="33"/>
      <c r="AAG37" s="33"/>
      <c r="AAH37" s="33"/>
      <c r="AAI37" s="33"/>
      <c r="AAJ37" s="33"/>
      <c r="AAK37" s="137"/>
      <c r="AAL37" s="33"/>
      <c r="AAM37" s="33"/>
      <c r="AAN37" s="33"/>
      <c r="AAO37" s="33"/>
      <c r="AAP37" s="33"/>
      <c r="AAQ37" s="74"/>
      <c r="AAR37" s="33"/>
      <c r="AAS37" s="33"/>
      <c r="AAT37" s="33"/>
      <c r="AAU37" s="33"/>
      <c r="AAV37" s="33"/>
      <c r="AAW37" s="34"/>
      <c r="AAX37" s="32"/>
      <c r="AAY37" s="64"/>
      <c r="AAZ37" s="64"/>
      <c r="ABA37" s="64"/>
      <c r="ABB37" s="33"/>
      <c r="ABC37" s="132"/>
      <c r="ABD37" s="33"/>
      <c r="ABE37" s="33"/>
      <c r="ABF37" s="33"/>
      <c r="ABG37" s="33"/>
      <c r="ABH37" s="33"/>
      <c r="ABI37" s="137"/>
      <c r="ABJ37" s="33"/>
      <c r="ABK37" s="33"/>
      <c r="ABL37" s="33"/>
      <c r="ABM37" s="33"/>
      <c r="ABN37" s="33"/>
      <c r="ABO37" s="74"/>
      <c r="ABP37" s="33"/>
      <c r="ABQ37" s="33"/>
      <c r="ABR37" s="33"/>
      <c r="ABS37" s="33"/>
      <c r="ABT37" s="33"/>
      <c r="ABU37" s="137"/>
      <c r="ABV37" s="33"/>
      <c r="ABW37" s="33"/>
      <c r="ABX37" s="33"/>
      <c r="ABY37" s="33"/>
      <c r="ABZ37" s="33"/>
      <c r="ACA37" s="74"/>
      <c r="ACB37" s="64"/>
      <c r="ACC37" s="64"/>
      <c r="ACD37" s="64"/>
      <c r="ACE37" s="64"/>
      <c r="ACF37" s="33"/>
      <c r="ACG37" s="137"/>
      <c r="ACH37" s="33"/>
      <c r="ACI37" s="33"/>
      <c r="ACJ37" s="33"/>
      <c r="ACK37" s="33"/>
      <c r="ACL37" s="33"/>
      <c r="ACM37" s="74"/>
      <c r="ACN37" s="33"/>
      <c r="ACO37" s="33"/>
      <c r="ACP37" s="33"/>
      <c r="ACQ37" s="33"/>
      <c r="ACR37" s="33"/>
      <c r="ACS37" s="137"/>
      <c r="ACT37" s="33"/>
      <c r="ACU37" s="33"/>
      <c r="ACV37" s="33"/>
      <c r="ACW37" s="33"/>
      <c r="ACX37" s="33"/>
      <c r="ACY37" s="74"/>
      <c r="ACZ37" s="33"/>
      <c r="ADA37" s="33"/>
      <c r="ADB37" s="33"/>
      <c r="ADC37" s="33"/>
      <c r="ADD37" s="33"/>
      <c r="ADE37" s="34"/>
      <c r="ADF37" s="32"/>
      <c r="ADG37" s="64"/>
      <c r="ADH37" s="64"/>
      <c r="ADI37" s="64"/>
      <c r="ADJ37" s="33"/>
      <c r="ADK37" s="132"/>
      <c r="ADL37" s="33"/>
      <c r="ADM37" s="33"/>
      <c r="ADN37" s="33"/>
      <c r="ADO37" s="33"/>
      <c r="ADP37" s="33"/>
      <c r="ADQ37" s="137"/>
      <c r="ADR37" s="33"/>
      <c r="ADS37" s="33"/>
      <c r="ADT37" s="33"/>
      <c r="ADU37" s="33"/>
      <c r="ADV37" s="33"/>
      <c r="ADW37" s="74"/>
      <c r="ADX37" s="33"/>
      <c r="ADY37" s="33"/>
      <c r="ADZ37" s="33"/>
      <c r="AEA37" s="33"/>
      <c r="AEB37" s="33"/>
      <c r="AEC37" s="137"/>
      <c r="AED37" s="33"/>
      <c r="AEE37" s="33"/>
      <c r="AEF37" s="33"/>
      <c r="AEG37" s="33"/>
      <c r="AEH37" s="33"/>
      <c r="AEI37" s="74"/>
      <c r="AEJ37" s="64"/>
      <c r="AEK37" s="64"/>
      <c r="AEL37" s="64"/>
      <c r="AEM37" s="64"/>
      <c r="AEN37" s="33"/>
      <c r="AEO37" s="137"/>
      <c r="AEP37" s="33"/>
      <c r="AEQ37" s="33"/>
      <c r="AER37" s="33"/>
      <c r="AES37" s="33"/>
      <c r="AET37" s="33"/>
      <c r="AEU37" s="74"/>
      <c r="AEV37" s="33"/>
      <c r="AEW37" s="33"/>
      <c r="AEX37" s="33"/>
      <c r="AEY37" s="33"/>
      <c r="AEZ37" s="33"/>
      <c r="AFA37" s="137"/>
      <c r="AFB37" s="33"/>
      <c r="AFC37" s="33"/>
      <c r="AFD37" s="33"/>
      <c r="AFE37" s="33"/>
      <c r="AFF37" s="33"/>
      <c r="AFG37" s="74"/>
      <c r="AFH37" s="33"/>
      <c r="AFI37" s="33"/>
      <c r="AFJ37" s="33"/>
      <c r="AFK37" s="33"/>
      <c r="AFL37" s="33"/>
      <c r="AFM37" s="34"/>
      <c r="AFN37" s="90"/>
    </row>
    <row r="38" spans="1:846" ht="20.100000000000001" customHeight="1" x14ac:dyDescent="0.3">
      <c r="A38" s="100" t="s">
        <v>21</v>
      </c>
      <c r="B38" s="63" t="str">
        <f>IF(LEN(C61)=0,"",C61)</f>
        <v/>
      </c>
      <c r="C38" s="219"/>
      <c r="D38" s="148" t="str">
        <f t="shared" si="0"/>
        <v>5h45min</v>
      </c>
      <c r="E38" s="35">
        <v>69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195"/>
      <c r="QO38" s="195"/>
      <c r="QP38" s="195"/>
      <c r="QQ38" s="195"/>
      <c r="QR38" s="192"/>
      <c r="QS38" s="193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196"/>
      <c r="RS38" s="195"/>
      <c r="RT38" s="195"/>
      <c r="RU38" s="195"/>
      <c r="RV38" s="192"/>
      <c r="RW38" s="197"/>
      <c r="RX38" s="192"/>
      <c r="RY38" s="192"/>
      <c r="RZ38" s="192"/>
      <c r="SA38" s="192"/>
      <c r="SB38" s="192"/>
      <c r="SC38" s="193"/>
      <c r="SD38" s="192"/>
      <c r="SE38" s="192"/>
      <c r="SF38" s="192"/>
      <c r="SG38" s="192"/>
      <c r="SH38" s="192"/>
      <c r="SI38" s="194"/>
      <c r="SJ38" s="192"/>
      <c r="SK38" s="192"/>
      <c r="SL38" s="192"/>
      <c r="SM38" s="192"/>
      <c r="SN38" s="192"/>
      <c r="SO38" s="193"/>
      <c r="SP38" s="192"/>
      <c r="SQ38" s="192"/>
      <c r="SR38" s="192"/>
      <c r="SS38" s="192"/>
      <c r="ST38" s="192"/>
      <c r="SU38" s="194"/>
      <c r="SV38" s="195"/>
      <c r="SW38" s="195"/>
      <c r="SX38" s="195"/>
      <c r="SY38" s="195"/>
      <c r="SZ38" s="192"/>
      <c r="TA38" s="193"/>
      <c r="TB38" s="192"/>
      <c r="TC38" s="192"/>
      <c r="TD38" s="192"/>
      <c r="TE38" s="192"/>
      <c r="TF38" s="192"/>
      <c r="TG38" s="194"/>
      <c r="TH38" s="192"/>
      <c r="TI38" s="192"/>
      <c r="TJ38" s="192"/>
      <c r="TK38" s="37"/>
      <c r="TL38" s="37"/>
      <c r="TM38" s="138"/>
      <c r="TN38" s="37"/>
      <c r="TO38" s="37"/>
      <c r="TP38" s="37"/>
      <c r="TQ38" s="37"/>
      <c r="TR38" s="37"/>
      <c r="TS38" s="75"/>
      <c r="TT38" s="37"/>
      <c r="TU38" s="37"/>
      <c r="TV38" s="37"/>
      <c r="TW38" s="37"/>
      <c r="TX38" s="37"/>
      <c r="TY38" s="38"/>
      <c r="TZ38" s="196"/>
      <c r="UA38" s="195"/>
      <c r="UB38" s="195"/>
      <c r="UC38" s="195"/>
      <c r="UD38" s="192"/>
      <c r="UE38" s="197"/>
      <c r="UF38" s="192"/>
      <c r="UG38" s="192"/>
      <c r="UH38" s="192"/>
      <c r="UI38" s="192"/>
      <c r="UJ38" s="192"/>
      <c r="UK38" s="193"/>
      <c r="UL38" s="192"/>
      <c r="UM38" s="192"/>
      <c r="UN38" s="192"/>
      <c r="UO38" s="192"/>
      <c r="UP38" s="192"/>
      <c r="UQ38" s="194"/>
      <c r="UR38" s="37"/>
      <c r="US38" s="37"/>
      <c r="UT38" s="37"/>
      <c r="UU38" s="37"/>
      <c r="UV38" s="37"/>
      <c r="UW38" s="138"/>
      <c r="UX38" s="37"/>
      <c r="UY38" s="37"/>
      <c r="UZ38" s="37"/>
      <c r="VA38" s="37"/>
      <c r="VB38" s="37"/>
      <c r="VC38" s="75"/>
      <c r="VD38" s="65"/>
      <c r="VE38" s="65"/>
      <c r="VF38" s="65"/>
      <c r="VG38" s="65"/>
      <c r="VH38" s="37"/>
      <c r="VI38" s="138"/>
      <c r="VJ38" s="37"/>
      <c r="VK38" s="37"/>
      <c r="VL38" s="37"/>
      <c r="VM38" s="37"/>
      <c r="VN38" s="37"/>
      <c r="VO38" s="75"/>
      <c r="VP38" s="37"/>
      <c r="VQ38" s="37"/>
      <c r="VR38" s="37"/>
      <c r="VS38" s="37"/>
      <c r="VT38" s="37"/>
      <c r="VU38" s="138"/>
      <c r="VV38" s="37"/>
      <c r="VW38" s="37"/>
      <c r="VX38" s="37"/>
      <c r="VY38" s="37"/>
      <c r="VZ38" s="37"/>
      <c r="WA38" s="75"/>
      <c r="WB38" s="37"/>
      <c r="WC38" s="37"/>
      <c r="WD38" s="37"/>
      <c r="WE38" s="37"/>
      <c r="WF38" s="37"/>
      <c r="WG38" s="38"/>
      <c r="WH38" s="36"/>
      <c r="WI38" s="65"/>
      <c r="WJ38" s="65"/>
      <c r="WK38" s="65"/>
      <c r="WL38" s="37"/>
      <c r="WM38" s="133"/>
      <c r="WN38" s="37"/>
      <c r="WO38" s="37"/>
      <c r="WP38" s="37"/>
      <c r="WQ38" s="37"/>
      <c r="WR38" s="37"/>
      <c r="WS38" s="138"/>
      <c r="WT38" s="37"/>
      <c r="WU38" s="37"/>
      <c r="WV38" s="37"/>
      <c r="WW38" s="37"/>
      <c r="WX38" s="37"/>
      <c r="WY38" s="75"/>
      <c r="WZ38" s="37"/>
      <c r="XA38" s="37"/>
      <c r="XB38" s="37"/>
      <c r="XC38" s="37"/>
      <c r="XD38" s="37"/>
      <c r="XE38" s="138"/>
      <c r="XF38" s="37"/>
      <c r="XG38" s="37"/>
      <c r="XH38" s="37"/>
      <c r="XI38" s="37"/>
      <c r="XJ38" s="37"/>
      <c r="XK38" s="75"/>
      <c r="XL38" s="65"/>
      <c r="XM38" s="65"/>
      <c r="XN38" s="65"/>
      <c r="XO38" s="65"/>
      <c r="XP38" s="37"/>
      <c r="XQ38" s="138"/>
      <c r="XR38" s="37"/>
      <c r="XS38" s="37"/>
      <c r="XT38" s="37"/>
      <c r="XU38" s="37"/>
      <c r="XV38" s="37"/>
      <c r="XW38" s="75"/>
      <c r="XX38" s="37"/>
      <c r="XY38" s="37"/>
      <c r="XZ38" s="37"/>
      <c r="YA38" s="37"/>
      <c r="YB38" s="37"/>
      <c r="YC38" s="138"/>
      <c r="YD38" s="37"/>
      <c r="YE38" s="37"/>
      <c r="YF38" s="37"/>
      <c r="YG38" s="37"/>
      <c r="YH38" s="37"/>
      <c r="YI38" s="75"/>
      <c r="YJ38" s="37"/>
      <c r="YK38" s="37"/>
      <c r="YL38" s="37"/>
      <c r="YM38" s="37"/>
      <c r="YN38" s="37"/>
      <c r="YO38" s="38"/>
      <c r="YP38" s="36"/>
      <c r="YQ38" s="65"/>
      <c r="YR38" s="65"/>
      <c r="YS38" s="65"/>
      <c r="YT38" s="37"/>
      <c r="YU38" s="133"/>
      <c r="YV38" s="37"/>
      <c r="YW38" s="37"/>
      <c r="YX38" s="37"/>
      <c r="YY38" s="37"/>
      <c r="YZ38" s="37"/>
      <c r="ZA38" s="138"/>
      <c r="ZB38" s="37"/>
      <c r="ZC38" s="37"/>
      <c r="ZD38" s="37"/>
      <c r="ZE38" s="37"/>
      <c r="ZF38" s="37"/>
      <c r="ZG38" s="75"/>
      <c r="ZH38" s="37"/>
      <c r="ZI38" s="37"/>
      <c r="ZJ38" s="37"/>
      <c r="ZK38" s="37"/>
      <c r="ZL38" s="37"/>
      <c r="ZM38" s="138"/>
      <c r="ZN38" s="37"/>
      <c r="ZO38" s="37"/>
      <c r="ZP38" s="37"/>
      <c r="ZQ38" s="37"/>
      <c r="ZR38" s="37"/>
      <c r="ZS38" s="75"/>
      <c r="ZT38" s="65"/>
      <c r="ZU38" s="65"/>
      <c r="ZV38" s="65"/>
      <c r="ZW38" s="65"/>
      <c r="ZX38" s="37"/>
      <c r="ZY38" s="138"/>
      <c r="ZZ38" s="37"/>
      <c r="AAA38" s="37"/>
      <c r="AAB38" s="37"/>
      <c r="AAC38" s="37"/>
      <c r="AAD38" s="37"/>
      <c r="AAE38" s="75"/>
      <c r="AAF38" s="37"/>
      <c r="AAG38" s="37"/>
      <c r="AAH38" s="37"/>
      <c r="AAI38" s="37"/>
      <c r="AAJ38" s="37"/>
      <c r="AAK38" s="138"/>
      <c r="AAL38" s="37"/>
      <c r="AAM38" s="37"/>
      <c r="AAN38" s="37"/>
      <c r="AAO38" s="37"/>
      <c r="AAP38" s="37"/>
      <c r="AAQ38" s="75"/>
      <c r="AAR38" s="37"/>
      <c r="AAS38" s="37"/>
      <c r="AAT38" s="37"/>
      <c r="AAU38" s="37"/>
      <c r="AAV38" s="37"/>
      <c r="AAW38" s="38"/>
      <c r="AAX38" s="36"/>
      <c r="AAY38" s="65"/>
      <c r="AAZ38" s="65"/>
      <c r="ABA38" s="65"/>
      <c r="ABB38" s="37"/>
      <c r="ABC38" s="133"/>
      <c r="ABD38" s="37"/>
      <c r="ABE38" s="37"/>
      <c r="ABF38" s="37"/>
      <c r="ABG38" s="37"/>
      <c r="ABH38" s="37"/>
      <c r="ABI38" s="138"/>
      <c r="ABJ38" s="37"/>
      <c r="ABK38" s="37"/>
      <c r="ABL38" s="37"/>
      <c r="ABM38" s="37"/>
      <c r="ABN38" s="37"/>
      <c r="ABO38" s="75"/>
      <c r="ABP38" s="37"/>
      <c r="ABQ38" s="37"/>
      <c r="ABR38" s="37"/>
      <c r="ABS38" s="37"/>
      <c r="ABT38" s="37"/>
      <c r="ABU38" s="138"/>
      <c r="ABV38" s="37"/>
      <c r="ABW38" s="37"/>
      <c r="ABX38" s="37"/>
      <c r="ABY38" s="37"/>
      <c r="ABZ38" s="37"/>
      <c r="ACA38" s="75"/>
      <c r="ACB38" s="65"/>
      <c r="ACC38" s="65"/>
      <c r="ACD38" s="65"/>
      <c r="ACE38" s="65"/>
      <c r="ACF38" s="37"/>
      <c r="ACG38" s="138"/>
      <c r="ACH38" s="37"/>
      <c r="ACI38" s="37"/>
      <c r="ACJ38" s="37"/>
      <c r="ACK38" s="37"/>
      <c r="ACL38" s="37"/>
      <c r="ACM38" s="75"/>
      <c r="ACN38" s="37"/>
      <c r="ACO38" s="37"/>
      <c r="ACP38" s="37"/>
      <c r="ACQ38" s="37"/>
      <c r="ACR38" s="37"/>
      <c r="ACS38" s="138"/>
      <c r="ACT38" s="37"/>
      <c r="ACU38" s="37"/>
      <c r="ACV38" s="37"/>
      <c r="ACW38" s="37"/>
      <c r="ACX38" s="37"/>
      <c r="ACY38" s="75"/>
      <c r="ACZ38" s="37"/>
      <c r="ADA38" s="37"/>
      <c r="ADB38" s="37"/>
      <c r="ADC38" s="37"/>
      <c r="ADD38" s="37"/>
      <c r="ADE38" s="38"/>
      <c r="ADF38" s="36"/>
      <c r="ADG38" s="65"/>
      <c r="ADH38" s="65"/>
      <c r="ADI38" s="65"/>
      <c r="ADJ38" s="37"/>
      <c r="ADK38" s="133"/>
      <c r="ADL38" s="37"/>
      <c r="ADM38" s="37"/>
      <c r="ADN38" s="37"/>
      <c r="ADO38" s="37"/>
      <c r="ADP38" s="37"/>
      <c r="ADQ38" s="138"/>
      <c r="ADR38" s="37"/>
      <c r="ADS38" s="37"/>
      <c r="ADT38" s="37"/>
      <c r="ADU38" s="37"/>
      <c r="ADV38" s="37"/>
      <c r="ADW38" s="75"/>
      <c r="ADX38" s="37"/>
      <c r="ADY38" s="37"/>
      <c r="ADZ38" s="37"/>
      <c r="AEA38" s="37"/>
      <c r="AEB38" s="37"/>
      <c r="AEC38" s="138"/>
      <c r="AED38" s="37"/>
      <c r="AEE38" s="37"/>
      <c r="AEF38" s="37"/>
      <c r="AEG38" s="37"/>
      <c r="AEH38" s="37"/>
      <c r="AEI38" s="75"/>
      <c r="AEJ38" s="65"/>
      <c r="AEK38" s="65"/>
      <c r="AEL38" s="65"/>
      <c r="AEM38" s="65"/>
      <c r="AEN38" s="37"/>
      <c r="AEO38" s="138"/>
      <c r="AEP38" s="37"/>
      <c r="AEQ38" s="37"/>
      <c r="AER38" s="37"/>
      <c r="AES38" s="37"/>
      <c r="AET38" s="37"/>
      <c r="AEU38" s="75"/>
      <c r="AEV38" s="37"/>
      <c r="AEW38" s="37"/>
      <c r="AEX38" s="37"/>
      <c r="AEY38" s="37"/>
      <c r="AEZ38" s="37"/>
      <c r="AFA38" s="138"/>
      <c r="AFB38" s="37"/>
      <c r="AFC38" s="37"/>
      <c r="AFD38" s="37"/>
      <c r="AFE38" s="37"/>
      <c r="AFF38" s="37"/>
      <c r="AFG38" s="75"/>
      <c r="AFH38" s="37"/>
      <c r="AFI38" s="37"/>
      <c r="AFJ38" s="37"/>
      <c r="AFK38" s="37"/>
      <c r="AFL38" s="37"/>
      <c r="AFM38" s="38"/>
      <c r="AFN38" s="90"/>
    </row>
    <row r="39" spans="1:846" ht="20.100000000000001" customHeight="1" x14ac:dyDescent="0.25">
      <c r="A39" s="100" t="s">
        <v>20</v>
      </c>
      <c r="B39" s="63" t="str">
        <f>IF(LEN(C63)=0,"",C63)</f>
        <v/>
      </c>
      <c r="C39" s="218" t="s">
        <v>93</v>
      </c>
      <c r="D39" s="146" t="str">
        <f t="shared" si="0"/>
        <v>3h</v>
      </c>
      <c r="E39" s="39">
        <v>36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40"/>
      <c r="RS39" s="66"/>
      <c r="RT39" s="66"/>
      <c r="RU39" s="66"/>
      <c r="RV39" s="41"/>
      <c r="RW39" s="134"/>
      <c r="RX39" s="41"/>
      <c r="RY39" s="41"/>
      <c r="RZ39" s="41"/>
      <c r="SA39" s="41"/>
      <c r="SB39" s="41"/>
      <c r="SC39" s="139"/>
      <c r="SD39" s="41"/>
      <c r="SE39" s="41"/>
      <c r="SF39" s="41"/>
      <c r="SG39" s="41"/>
      <c r="SH39" s="41"/>
      <c r="SI39" s="76"/>
      <c r="SJ39" s="41"/>
      <c r="SK39" s="41"/>
      <c r="SL39" s="41"/>
      <c r="SM39" s="41"/>
      <c r="SN39" s="41"/>
      <c r="SO39" s="139"/>
      <c r="SP39" s="41"/>
      <c r="SQ39" s="41"/>
      <c r="SR39" s="41"/>
      <c r="SS39" s="41"/>
      <c r="ST39" s="41"/>
      <c r="SU39" s="76"/>
      <c r="SV39" s="66"/>
      <c r="SW39" s="66"/>
      <c r="SX39" s="66"/>
      <c r="SY39" s="66"/>
      <c r="SZ39" s="41"/>
      <c r="TA39" s="139"/>
      <c r="TB39" s="41"/>
      <c r="TC39" s="41"/>
      <c r="TD39" s="41"/>
      <c r="TE39" s="41"/>
      <c r="TF39" s="41"/>
      <c r="TG39" s="76"/>
      <c r="TH39" s="41"/>
      <c r="TI39" s="41"/>
      <c r="TJ39" s="41"/>
      <c r="TK39" s="41"/>
      <c r="TL39" s="41"/>
      <c r="TM39" s="139"/>
      <c r="TN39" s="41"/>
      <c r="TO39" s="41"/>
      <c r="TP39" s="41"/>
      <c r="TQ39" s="41"/>
      <c r="TR39" s="41"/>
      <c r="TS39" s="76"/>
      <c r="TT39" s="41"/>
      <c r="TU39" s="41"/>
      <c r="TV39" s="41"/>
      <c r="TW39" s="41"/>
      <c r="TX39" s="41"/>
      <c r="TY39" s="42"/>
      <c r="TZ39" s="40"/>
      <c r="UA39" s="66"/>
      <c r="UB39" s="66"/>
      <c r="UC39" s="66"/>
      <c r="UD39" s="41"/>
      <c r="UE39" s="134"/>
      <c r="UF39" s="41"/>
      <c r="UG39" s="41"/>
      <c r="UH39" s="41"/>
      <c r="UI39" s="41"/>
      <c r="UJ39" s="41"/>
      <c r="UK39" s="139"/>
      <c r="UL39" s="41"/>
      <c r="UM39" s="41"/>
      <c r="UN39" s="41"/>
      <c r="UO39" s="41"/>
      <c r="UP39" s="41"/>
      <c r="UQ39" s="76"/>
      <c r="UR39" s="41"/>
      <c r="US39" s="41"/>
      <c r="UT39" s="41"/>
      <c r="UU39" s="41"/>
      <c r="UV39" s="41"/>
      <c r="UW39" s="139"/>
      <c r="UX39" s="41"/>
      <c r="UY39" s="41"/>
      <c r="UZ39" s="41"/>
      <c r="VA39" s="41"/>
      <c r="VB39" s="41"/>
      <c r="VC39" s="76"/>
      <c r="VD39" s="66"/>
      <c r="VE39" s="66"/>
      <c r="VF39" s="66"/>
      <c r="VG39" s="66"/>
      <c r="VH39" s="41"/>
      <c r="VI39" s="139"/>
      <c r="VJ39" s="41"/>
      <c r="VK39" s="41"/>
      <c r="VL39" s="41"/>
      <c r="VM39" s="41"/>
      <c r="VN39" s="41"/>
      <c r="VO39" s="76"/>
      <c r="VP39" s="41"/>
      <c r="VQ39" s="41"/>
      <c r="VR39" s="41"/>
      <c r="VS39" s="41"/>
      <c r="VT39" s="41"/>
      <c r="VU39" s="139"/>
      <c r="VV39" s="41"/>
      <c r="VW39" s="41"/>
      <c r="VX39" s="41"/>
      <c r="VY39" s="41"/>
      <c r="VZ39" s="41"/>
      <c r="WA39" s="76"/>
      <c r="WB39" s="41"/>
      <c r="WC39" s="41"/>
      <c r="WD39" s="41"/>
      <c r="WE39" s="41"/>
      <c r="WF39" s="41"/>
      <c r="WG39" s="42"/>
      <c r="WH39" s="174"/>
      <c r="WI39" s="175"/>
      <c r="WJ39" s="175"/>
      <c r="WK39" s="175"/>
      <c r="WL39" s="176"/>
      <c r="WM39" s="177"/>
      <c r="WN39" s="176"/>
      <c r="WO39" s="176"/>
      <c r="WP39" s="176"/>
      <c r="WQ39" s="176"/>
      <c r="WR39" s="176"/>
      <c r="WS39" s="178"/>
      <c r="WT39" s="176"/>
      <c r="WU39" s="176"/>
      <c r="WV39" s="176"/>
      <c r="WW39" s="176"/>
      <c r="WX39" s="176"/>
      <c r="WY39" s="179"/>
      <c r="WZ39" s="176"/>
      <c r="XA39" s="176"/>
      <c r="XB39" s="176"/>
      <c r="XC39" s="176"/>
      <c r="XD39" s="176"/>
      <c r="XE39" s="178"/>
      <c r="XF39" s="176"/>
      <c r="XG39" s="176"/>
      <c r="XH39" s="176"/>
      <c r="XI39" s="176"/>
      <c r="XJ39" s="176"/>
      <c r="XK39" s="179"/>
      <c r="XL39" s="175"/>
      <c r="XM39" s="175"/>
      <c r="XN39" s="175"/>
      <c r="XO39" s="175"/>
      <c r="XP39" s="176"/>
      <c r="XQ39" s="178"/>
      <c r="XR39" s="41"/>
      <c r="XS39" s="41"/>
      <c r="XT39" s="41"/>
      <c r="XU39" s="41"/>
      <c r="XV39" s="41"/>
      <c r="XW39" s="76"/>
      <c r="XX39" s="41"/>
      <c r="XY39" s="41"/>
      <c r="XZ39" s="41"/>
      <c r="YA39" s="41"/>
      <c r="YB39" s="41"/>
      <c r="YC39" s="139"/>
      <c r="YD39" s="41"/>
      <c r="YE39" s="41"/>
      <c r="YF39" s="41"/>
      <c r="YG39" s="41"/>
      <c r="YH39" s="41"/>
      <c r="YI39" s="76"/>
      <c r="YJ39" s="41"/>
      <c r="YK39" s="41"/>
      <c r="YL39" s="41"/>
      <c r="YM39" s="41"/>
      <c r="YN39" s="41"/>
      <c r="YO39" s="42"/>
      <c r="YP39" s="40"/>
      <c r="YQ39" s="66"/>
      <c r="YR39" s="66"/>
      <c r="YS39" s="66"/>
      <c r="YT39" s="41"/>
      <c r="YU39" s="134"/>
      <c r="YV39" s="41"/>
      <c r="YW39" s="41"/>
      <c r="YX39" s="41"/>
      <c r="YY39" s="41"/>
      <c r="YZ39" s="41"/>
      <c r="ZA39" s="139"/>
      <c r="ZB39" s="41"/>
      <c r="ZC39" s="41"/>
      <c r="ZD39" s="41"/>
      <c r="ZE39" s="41"/>
      <c r="ZF39" s="41"/>
      <c r="ZG39" s="76"/>
      <c r="ZH39" s="41"/>
      <c r="ZI39" s="41"/>
      <c r="ZJ39" s="41"/>
      <c r="ZK39" s="41"/>
      <c r="ZL39" s="41"/>
      <c r="ZM39" s="139"/>
      <c r="ZN39" s="41"/>
      <c r="ZO39" s="41"/>
      <c r="ZP39" s="41"/>
      <c r="ZQ39" s="41"/>
      <c r="ZR39" s="41"/>
      <c r="ZS39" s="76"/>
      <c r="ZT39" s="66"/>
      <c r="ZU39" s="66"/>
      <c r="ZV39" s="66"/>
      <c r="ZW39" s="66"/>
      <c r="ZX39" s="41"/>
      <c r="ZY39" s="139"/>
      <c r="ZZ39" s="41"/>
      <c r="AAA39" s="41"/>
      <c r="AAB39" s="41"/>
      <c r="AAC39" s="41"/>
      <c r="AAD39" s="41"/>
      <c r="AAE39" s="76"/>
      <c r="AAF39" s="41"/>
      <c r="AAG39" s="41"/>
      <c r="AAH39" s="41"/>
      <c r="AAI39" s="41"/>
      <c r="AAJ39" s="41"/>
      <c r="AAK39" s="139"/>
      <c r="AAL39" s="41"/>
      <c r="AAM39" s="41"/>
      <c r="AAN39" s="41"/>
      <c r="AAO39" s="41"/>
      <c r="AAP39" s="41"/>
      <c r="AAQ39" s="76"/>
      <c r="AAR39" s="41"/>
      <c r="AAS39" s="41"/>
      <c r="AAT39" s="41"/>
      <c r="AAU39" s="41"/>
      <c r="AAV39" s="41"/>
      <c r="AAW39" s="42"/>
      <c r="AAX39" s="40"/>
      <c r="AAY39" s="66"/>
      <c r="AAZ39" s="66"/>
      <c r="ABA39" s="66"/>
      <c r="ABB39" s="41"/>
      <c r="ABC39" s="134"/>
      <c r="ABD39" s="41"/>
      <c r="ABE39" s="41"/>
      <c r="ABF39" s="41"/>
      <c r="ABG39" s="41"/>
      <c r="ABH39" s="41"/>
      <c r="ABI39" s="139"/>
      <c r="ABJ39" s="41"/>
      <c r="ABK39" s="41"/>
      <c r="ABL39" s="41"/>
      <c r="ABM39" s="41"/>
      <c r="ABN39" s="41"/>
      <c r="ABO39" s="76"/>
      <c r="ABP39" s="41"/>
      <c r="ABQ39" s="41"/>
      <c r="ABR39" s="41"/>
      <c r="ABS39" s="41"/>
      <c r="ABT39" s="41"/>
      <c r="ABU39" s="139"/>
      <c r="ABV39" s="41"/>
      <c r="ABW39" s="41"/>
      <c r="ABX39" s="41"/>
      <c r="ABY39" s="41"/>
      <c r="ABZ39" s="41"/>
      <c r="ACA39" s="76"/>
      <c r="ACB39" s="66"/>
      <c r="ACC39" s="66"/>
      <c r="ACD39" s="66"/>
      <c r="ACE39" s="66"/>
      <c r="ACF39" s="41"/>
      <c r="ACG39" s="139"/>
      <c r="ACH39" s="41"/>
      <c r="ACI39" s="41"/>
      <c r="ACJ39" s="41"/>
      <c r="ACK39" s="41"/>
      <c r="ACL39" s="41"/>
      <c r="ACM39" s="76"/>
      <c r="ACN39" s="41"/>
      <c r="ACO39" s="41"/>
      <c r="ACP39" s="41"/>
      <c r="ACQ39" s="41"/>
      <c r="ACR39" s="41"/>
      <c r="ACS39" s="139"/>
      <c r="ACT39" s="41"/>
      <c r="ACU39" s="41"/>
      <c r="ACV39" s="41"/>
      <c r="ACW39" s="41"/>
      <c r="ACX39" s="41"/>
      <c r="ACY39" s="76"/>
      <c r="ACZ39" s="41"/>
      <c r="ADA39" s="41"/>
      <c r="ADB39" s="41"/>
      <c r="ADC39" s="41"/>
      <c r="ADD39" s="41"/>
      <c r="ADE39" s="42"/>
      <c r="ADF39" s="40"/>
      <c r="ADG39" s="66"/>
      <c r="ADH39" s="66"/>
      <c r="ADI39" s="66"/>
      <c r="ADJ39" s="41"/>
      <c r="ADK39" s="134"/>
      <c r="ADL39" s="41"/>
      <c r="ADM39" s="41"/>
      <c r="ADN39" s="41"/>
      <c r="ADO39" s="41"/>
      <c r="ADP39" s="41"/>
      <c r="ADQ39" s="139"/>
      <c r="ADR39" s="41"/>
      <c r="ADS39" s="41"/>
      <c r="ADT39" s="41"/>
      <c r="ADU39" s="41"/>
      <c r="ADV39" s="41"/>
      <c r="ADW39" s="76"/>
      <c r="ADX39" s="41"/>
      <c r="ADY39" s="41"/>
      <c r="ADZ39" s="41"/>
      <c r="AEA39" s="41"/>
      <c r="AEB39" s="41"/>
      <c r="AEC39" s="139"/>
      <c r="AED39" s="41"/>
      <c r="AEE39" s="41"/>
      <c r="AEF39" s="41"/>
      <c r="AEG39" s="41"/>
      <c r="AEH39" s="41"/>
      <c r="AEI39" s="76"/>
      <c r="AEJ39" s="66"/>
      <c r="AEK39" s="66"/>
      <c r="AEL39" s="66"/>
      <c r="AEM39" s="66"/>
      <c r="AEN39" s="41"/>
      <c r="AEO39" s="139"/>
      <c r="AEP39" s="41"/>
      <c r="AEQ39" s="41"/>
      <c r="AER39" s="41"/>
      <c r="AES39" s="41"/>
      <c r="AET39" s="41"/>
      <c r="AEU39" s="76"/>
      <c r="AEV39" s="41"/>
      <c r="AEW39" s="41"/>
      <c r="AEX39" s="41"/>
      <c r="AEY39" s="41"/>
      <c r="AEZ39" s="41"/>
      <c r="AFA39" s="139"/>
      <c r="AFB39" s="41"/>
      <c r="AFC39" s="41"/>
      <c r="AFD39" s="41"/>
      <c r="AFE39" s="41"/>
      <c r="AFF39" s="41"/>
      <c r="AFG39" s="76"/>
      <c r="AFH39" s="41"/>
      <c r="AFI39" s="41"/>
      <c r="AFJ39" s="41"/>
      <c r="AFK39" s="41"/>
      <c r="AFL39" s="41"/>
      <c r="AFM39" s="42"/>
      <c r="AFN39" s="90"/>
    </row>
    <row r="40" spans="1:846" ht="20.100000000000001" customHeight="1" x14ac:dyDescent="0.25">
      <c r="A40" s="100" t="s">
        <v>21</v>
      </c>
      <c r="B40" s="63" t="str">
        <f>IF(LEN(C65)=0,"",C65)</f>
        <v/>
      </c>
      <c r="C40" s="220"/>
      <c r="D40" s="147" t="str">
        <f t="shared" si="0"/>
        <v>7h30min</v>
      </c>
      <c r="E40" s="27">
        <v>90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28"/>
      <c r="RS40" s="67"/>
      <c r="RT40" s="67"/>
      <c r="RU40" s="67"/>
      <c r="RV40" s="29"/>
      <c r="RW40" s="131"/>
      <c r="RX40" s="29"/>
      <c r="RY40" s="29"/>
      <c r="RZ40" s="29"/>
      <c r="SA40" s="29"/>
      <c r="SB40" s="29"/>
      <c r="SC40" s="136"/>
      <c r="SD40" s="29"/>
      <c r="SE40" s="29"/>
      <c r="SF40" s="29"/>
      <c r="SG40" s="29"/>
      <c r="SH40" s="29"/>
      <c r="SI40" s="73"/>
      <c r="SJ40" s="29"/>
      <c r="SK40" s="29"/>
      <c r="SL40" s="29"/>
      <c r="SM40" s="29"/>
      <c r="SN40" s="29"/>
      <c r="SO40" s="136"/>
      <c r="SP40" s="29"/>
      <c r="SQ40" s="29"/>
      <c r="SR40" s="29"/>
      <c r="SS40" s="29"/>
      <c r="ST40" s="29"/>
      <c r="SU40" s="73"/>
      <c r="SV40" s="67"/>
      <c r="SW40" s="67"/>
      <c r="SX40" s="67"/>
      <c r="SY40" s="67"/>
      <c r="SZ40" s="29"/>
      <c r="TA40" s="136"/>
      <c r="TB40" s="29"/>
      <c r="TC40" s="29"/>
      <c r="TD40" s="29"/>
      <c r="TE40" s="29"/>
      <c r="TF40" s="29"/>
      <c r="TG40" s="73"/>
      <c r="TH40" s="29"/>
      <c r="TI40" s="29"/>
      <c r="TJ40" s="29"/>
      <c r="TK40" s="29"/>
      <c r="TL40" s="29"/>
      <c r="TM40" s="136"/>
      <c r="TN40" s="29"/>
      <c r="TO40" s="29"/>
      <c r="TP40" s="29"/>
      <c r="TQ40" s="29"/>
      <c r="TR40" s="29"/>
      <c r="TS40" s="73"/>
      <c r="TT40" s="29"/>
      <c r="TU40" s="29"/>
      <c r="TV40" s="29"/>
      <c r="TW40" s="29"/>
      <c r="TX40" s="29"/>
      <c r="TY40" s="30"/>
      <c r="TZ40" s="28"/>
      <c r="UA40" s="67"/>
      <c r="UB40" s="67"/>
      <c r="UC40" s="67"/>
      <c r="UD40" s="29"/>
      <c r="UE40" s="131"/>
      <c r="UF40" s="29"/>
      <c r="UG40" s="29"/>
      <c r="UH40" s="29"/>
      <c r="UI40" s="29"/>
      <c r="UJ40" s="29"/>
      <c r="UK40" s="136"/>
      <c r="UL40" s="29"/>
      <c r="UM40" s="29"/>
      <c r="UN40" s="29"/>
      <c r="UO40" s="29"/>
      <c r="UP40" s="29"/>
      <c r="UQ40" s="73"/>
      <c r="UR40" s="188"/>
      <c r="US40" s="188"/>
      <c r="UT40" s="188"/>
      <c r="UU40" s="188"/>
      <c r="UV40" s="188"/>
      <c r="UW40" s="190"/>
      <c r="UX40" s="188"/>
      <c r="UY40" s="188"/>
      <c r="UZ40" s="188"/>
      <c r="VA40" s="188"/>
      <c r="VB40" s="188"/>
      <c r="VC40" s="191"/>
      <c r="VD40" s="187"/>
      <c r="VE40" s="187"/>
      <c r="VF40" s="187"/>
      <c r="VG40" s="187"/>
      <c r="VH40" s="188"/>
      <c r="VI40" s="190"/>
      <c r="VJ40" s="29"/>
      <c r="VK40" s="29"/>
      <c r="VL40" s="29"/>
      <c r="VM40" s="29"/>
      <c r="VN40" s="29"/>
      <c r="VO40" s="73"/>
      <c r="VP40" s="29"/>
      <c r="VQ40" s="29"/>
      <c r="VR40" s="29"/>
      <c r="VS40" s="29"/>
      <c r="VT40" s="29"/>
      <c r="VU40" s="136"/>
      <c r="VV40" s="29"/>
      <c r="VW40" s="29"/>
      <c r="VX40" s="29"/>
      <c r="VY40" s="29"/>
      <c r="VZ40" s="29"/>
      <c r="WA40" s="73"/>
      <c r="WB40" s="29"/>
      <c r="WC40" s="29"/>
      <c r="WD40" s="29"/>
      <c r="WE40" s="29"/>
      <c r="WF40" s="29"/>
      <c r="WG40" s="30"/>
      <c r="WH40" s="186"/>
      <c r="WI40" s="187"/>
      <c r="WJ40" s="187"/>
      <c r="WK40" s="187"/>
      <c r="WL40" s="188"/>
      <c r="WM40" s="189"/>
      <c r="WN40" s="188"/>
      <c r="WO40" s="188"/>
      <c r="WP40" s="188"/>
      <c r="WQ40" s="188"/>
      <c r="WR40" s="188"/>
      <c r="WS40" s="190"/>
      <c r="WT40" s="188"/>
      <c r="WU40" s="188"/>
      <c r="WV40" s="188"/>
      <c r="WW40" s="188"/>
      <c r="WX40" s="188"/>
      <c r="WY40" s="191"/>
      <c r="WZ40" s="188"/>
      <c r="XA40" s="188"/>
      <c r="XB40" s="188"/>
      <c r="XC40" s="188"/>
      <c r="XD40" s="188"/>
      <c r="XE40" s="190"/>
      <c r="XF40" s="188"/>
      <c r="XG40" s="188"/>
      <c r="XH40" s="188"/>
      <c r="XI40" s="188"/>
      <c r="XJ40" s="188"/>
      <c r="XK40" s="191"/>
      <c r="XL40" s="187"/>
      <c r="XM40" s="187"/>
      <c r="XN40" s="187"/>
      <c r="XO40" s="187"/>
      <c r="XP40" s="188"/>
      <c r="XQ40" s="190"/>
      <c r="XR40" s="29"/>
      <c r="XS40" s="29"/>
      <c r="XT40" s="29"/>
      <c r="XU40" s="29"/>
      <c r="XV40" s="29"/>
      <c r="XW40" s="73"/>
      <c r="XX40" s="29"/>
      <c r="XY40" s="29"/>
      <c r="XZ40" s="29"/>
      <c r="YA40" s="29"/>
      <c r="YB40" s="29"/>
      <c r="YC40" s="136"/>
      <c r="YD40" s="29"/>
      <c r="YE40" s="29"/>
      <c r="YF40" s="29"/>
      <c r="YG40" s="29"/>
      <c r="YH40" s="29"/>
      <c r="YI40" s="73"/>
      <c r="YJ40" s="29"/>
      <c r="YK40" s="29"/>
      <c r="YL40" s="29"/>
      <c r="YM40" s="29"/>
      <c r="YN40" s="29"/>
      <c r="YO40" s="30"/>
      <c r="YP40" s="186"/>
      <c r="YQ40" s="187"/>
      <c r="YR40" s="187"/>
      <c r="YS40" s="187"/>
      <c r="YT40" s="188"/>
      <c r="YU40" s="189"/>
      <c r="YV40" s="188"/>
      <c r="YW40" s="188"/>
      <c r="YX40" s="188"/>
      <c r="YY40" s="188"/>
      <c r="YZ40" s="188"/>
      <c r="ZA40" s="190"/>
      <c r="ZB40" s="188"/>
      <c r="ZC40" s="188"/>
      <c r="ZD40" s="188"/>
      <c r="ZE40" s="188"/>
      <c r="ZF40" s="188"/>
      <c r="ZG40" s="191"/>
      <c r="ZH40" s="188"/>
      <c r="ZI40" s="188"/>
      <c r="ZJ40" s="188"/>
      <c r="ZK40" s="188"/>
      <c r="ZL40" s="188"/>
      <c r="ZM40" s="190"/>
      <c r="ZN40" s="188"/>
      <c r="ZO40" s="188"/>
      <c r="ZP40" s="188"/>
      <c r="ZQ40" s="188"/>
      <c r="ZR40" s="188"/>
      <c r="ZS40" s="191"/>
      <c r="ZT40" s="187"/>
      <c r="ZU40" s="187"/>
      <c r="ZV40" s="187"/>
      <c r="ZW40" s="187"/>
      <c r="ZX40" s="188"/>
      <c r="ZY40" s="190"/>
      <c r="ZZ40" s="29"/>
      <c r="AAA40" s="29"/>
      <c r="AAB40" s="29"/>
      <c r="AAC40" s="29"/>
      <c r="AAD40" s="29"/>
      <c r="AAE40" s="73"/>
      <c r="AAF40" s="29"/>
      <c r="AAG40" s="29"/>
      <c r="AAH40" s="29"/>
      <c r="AAI40" s="29"/>
      <c r="AAJ40" s="29"/>
      <c r="AAK40" s="136"/>
      <c r="AAL40" s="29"/>
      <c r="AAM40" s="29"/>
      <c r="AAN40" s="29"/>
      <c r="AAO40" s="29"/>
      <c r="AAP40" s="29"/>
      <c r="AAQ40" s="73"/>
      <c r="AAR40" s="29"/>
      <c r="AAS40" s="29"/>
      <c r="AAT40" s="29"/>
      <c r="AAU40" s="29"/>
      <c r="AAV40" s="29"/>
      <c r="AAW40" s="30"/>
      <c r="AAX40" s="28"/>
      <c r="AAY40" s="67"/>
      <c r="AAZ40" s="67"/>
      <c r="ABA40" s="67"/>
      <c r="ABB40" s="29"/>
      <c r="ABC40" s="131"/>
      <c r="ABD40" s="29"/>
      <c r="ABE40" s="29"/>
      <c r="ABF40" s="29"/>
      <c r="ABG40" s="29"/>
      <c r="ABH40" s="29"/>
      <c r="ABI40" s="136"/>
      <c r="ABJ40" s="29"/>
      <c r="ABK40" s="29"/>
      <c r="ABL40" s="29"/>
      <c r="ABM40" s="29"/>
      <c r="ABN40" s="29"/>
      <c r="ABO40" s="73"/>
      <c r="ABP40" s="29"/>
      <c r="ABQ40" s="29"/>
      <c r="ABR40" s="29"/>
      <c r="ABS40" s="29"/>
      <c r="ABT40" s="29"/>
      <c r="ABU40" s="136"/>
      <c r="ABV40" s="29"/>
      <c r="ABW40" s="29"/>
      <c r="ABX40" s="29"/>
      <c r="ABY40" s="29"/>
      <c r="ABZ40" s="29"/>
      <c r="ACA40" s="73"/>
      <c r="ACB40" s="67"/>
      <c r="ACC40" s="67"/>
      <c r="ACD40" s="67"/>
      <c r="ACE40" s="67"/>
      <c r="ACF40" s="29"/>
      <c r="ACG40" s="136"/>
      <c r="ACH40" s="29"/>
      <c r="ACI40" s="29"/>
      <c r="ACJ40" s="29"/>
      <c r="ACK40" s="29"/>
      <c r="ACL40" s="29"/>
      <c r="ACM40" s="73"/>
      <c r="ACN40" s="29"/>
      <c r="ACO40" s="29"/>
      <c r="ACP40" s="29"/>
      <c r="ACQ40" s="29"/>
      <c r="ACR40" s="29"/>
      <c r="ACS40" s="136"/>
      <c r="ACT40" s="29"/>
      <c r="ACU40" s="29"/>
      <c r="ACV40" s="29"/>
      <c r="ACW40" s="29"/>
      <c r="ACX40" s="29"/>
      <c r="ACY40" s="73"/>
      <c r="ACZ40" s="29"/>
      <c r="ADA40" s="29"/>
      <c r="ADB40" s="29"/>
      <c r="ADC40" s="29"/>
      <c r="ADD40" s="29"/>
      <c r="ADE40" s="30"/>
      <c r="ADF40" s="28"/>
      <c r="ADG40" s="67"/>
      <c r="ADH40" s="67"/>
      <c r="ADI40" s="67"/>
      <c r="ADJ40" s="29"/>
      <c r="ADK40" s="131"/>
      <c r="ADL40" s="29"/>
      <c r="ADM40" s="29"/>
      <c r="ADN40" s="29"/>
      <c r="ADO40" s="29"/>
      <c r="ADP40" s="29"/>
      <c r="ADQ40" s="136"/>
      <c r="ADR40" s="29"/>
      <c r="ADS40" s="29"/>
      <c r="ADT40" s="29"/>
      <c r="ADU40" s="29"/>
      <c r="ADV40" s="29"/>
      <c r="ADW40" s="73"/>
      <c r="ADX40" s="29"/>
      <c r="ADY40" s="29"/>
      <c r="ADZ40" s="29"/>
      <c r="AEA40" s="29"/>
      <c r="AEB40" s="29"/>
      <c r="AEC40" s="136"/>
      <c r="AED40" s="29"/>
      <c r="AEE40" s="29"/>
      <c r="AEF40" s="29"/>
      <c r="AEG40" s="29"/>
      <c r="AEH40" s="29"/>
      <c r="AEI40" s="73"/>
      <c r="AEJ40" s="67"/>
      <c r="AEK40" s="67"/>
      <c r="AEL40" s="67"/>
      <c r="AEM40" s="67"/>
      <c r="AEN40" s="29"/>
      <c r="AEO40" s="136"/>
      <c r="AEP40" s="29"/>
      <c r="AEQ40" s="29"/>
      <c r="AER40" s="29"/>
      <c r="AES40" s="29"/>
      <c r="AET40" s="29"/>
      <c r="AEU40" s="73"/>
      <c r="AEV40" s="29"/>
      <c r="AEW40" s="29"/>
      <c r="AEX40" s="29"/>
      <c r="AEY40" s="29"/>
      <c r="AEZ40" s="29"/>
      <c r="AFA40" s="136"/>
      <c r="AFB40" s="29"/>
      <c r="AFC40" s="29"/>
      <c r="AFD40" s="29"/>
      <c r="AFE40" s="29"/>
      <c r="AFF40" s="29"/>
      <c r="AFG40" s="73"/>
      <c r="AFH40" s="29"/>
      <c r="AFI40" s="29"/>
      <c r="AFJ40" s="29"/>
      <c r="AFK40" s="29"/>
      <c r="AFL40" s="29"/>
      <c r="AFM40" s="30"/>
      <c r="AFN40" s="90"/>
    </row>
    <row r="41" spans="1:846" ht="20.100000000000001" customHeight="1" x14ac:dyDescent="0.25">
      <c r="A41" s="100" t="s">
        <v>20</v>
      </c>
      <c r="B41" s="63" t="str">
        <f>IF(LEN(C67)=0,"",C67)</f>
        <v/>
      </c>
      <c r="C41" s="218" t="s">
        <v>100</v>
      </c>
      <c r="D41" s="146" t="str">
        <f t="shared" si="0"/>
        <v>9h</v>
      </c>
      <c r="E41" s="31">
        <v>108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32"/>
      <c r="RS41" s="64"/>
      <c r="RT41" s="64"/>
      <c r="RU41" s="64"/>
      <c r="RV41" s="33"/>
      <c r="RW41" s="132"/>
      <c r="RX41" s="33"/>
      <c r="RY41" s="33"/>
      <c r="RZ41" s="33"/>
      <c r="SA41" s="33"/>
      <c r="SB41" s="33"/>
      <c r="SC41" s="137"/>
      <c r="SD41" s="33"/>
      <c r="SE41" s="33"/>
      <c r="SF41" s="33"/>
      <c r="SG41" s="33"/>
      <c r="SH41" s="33"/>
      <c r="SI41" s="74"/>
      <c r="SJ41" s="33"/>
      <c r="SK41" s="33"/>
      <c r="SL41" s="33"/>
      <c r="SM41" s="33"/>
      <c r="SN41" s="33"/>
      <c r="SO41" s="137"/>
      <c r="SP41" s="33"/>
      <c r="SQ41" s="33"/>
      <c r="SR41" s="33"/>
      <c r="SS41" s="33"/>
      <c r="ST41" s="33"/>
      <c r="SU41" s="74"/>
      <c r="SV41" s="64"/>
      <c r="SW41" s="64"/>
      <c r="SX41" s="64"/>
      <c r="SY41" s="64"/>
      <c r="SZ41" s="33"/>
      <c r="TA41" s="137"/>
      <c r="TB41" s="33"/>
      <c r="TC41" s="33"/>
      <c r="TD41" s="33"/>
      <c r="TE41" s="33"/>
      <c r="TF41" s="33"/>
      <c r="TG41" s="74"/>
      <c r="TH41" s="33"/>
      <c r="TI41" s="33"/>
      <c r="TJ41" s="33"/>
      <c r="TK41" s="33"/>
      <c r="TL41" s="33"/>
      <c r="TM41" s="137"/>
      <c r="TN41" s="33"/>
      <c r="TO41" s="33"/>
      <c r="TP41" s="33"/>
      <c r="TQ41" s="33"/>
      <c r="TR41" s="33"/>
      <c r="TS41" s="74"/>
      <c r="TT41" s="33"/>
      <c r="TU41" s="33"/>
      <c r="TV41" s="33"/>
      <c r="TW41" s="33"/>
      <c r="TX41" s="33"/>
      <c r="TY41" s="34"/>
      <c r="TZ41" s="32"/>
      <c r="UA41" s="64"/>
      <c r="UB41" s="64"/>
      <c r="UC41" s="64"/>
      <c r="UD41" s="33"/>
      <c r="UE41" s="132"/>
      <c r="UF41" s="33"/>
      <c r="UG41" s="33"/>
      <c r="UH41" s="33"/>
      <c r="UI41" s="33"/>
      <c r="UJ41" s="33"/>
      <c r="UK41" s="137"/>
      <c r="UL41" s="33"/>
      <c r="UM41" s="33"/>
      <c r="UN41" s="33"/>
      <c r="UO41" s="33"/>
      <c r="UP41" s="33"/>
      <c r="UQ41" s="74"/>
      <c r="UR41" s="33"/>
      <c r="US41" s="33"/>
      <c r="UT41" s="33"/>
      <c r="UU41" s="33"/>
      <c r="UV41" s="33"/>
      <c r="UW41" s="137"/>
      <c r="UX41" s="33"/>
      <c r="UY41" s="33"/>
      <c r="UZ41" s="33"/>
      <c r="VA41" s="33"/>
      <c r="VB41" s="33"/>
      <c r="VC41" s="74"/>
      <c r="VD41" s="64"/>
      <c r="VE41" s="64"/>
      <c r="VF41" s="64"/>
      <c r="VG41" s="64"/>
      <c r="VH41" s="33"/>
      <c r="VI41" s="137"/>
      <c r="VJ41" s="33"/>
      <c r="VK41" s="33"/>
      <c r="VL41" s="33"/>
      <c r="VM41" s="33"/>
      <c r="VN41" s="33"/>
      <c r="VO41" s="74"/>
      <c r="VP41" s="33"/>
      <c r="VQ41" s="33"/>
      <c r="VR41" s="33"/>
      <c r="VS41" s="33"/>
      <c r="VT41" s="33"/>
      <c r="VU41" s="137"/>
      <c r="VV41" s="33"/>
      <c r="VW41" s="33"/>
      <c r="VX41" s="33"/>
      <c r="VY41" s="33"/>
      <c r="VZ41" s="33"/>
      <c r="WA41" s="74"/>
      <c r="WB41" s="33"/>
      <c r="WC41" s="33"/>
      <c r="WD41" s="33"/>
      <c r="WE41" s="33"/>
      <c r="WF41" s="33"/>
      <c r="WG41" s="34"/>
      <c r="WH41" s="32"/>
      <c r="WI41" s="64"/>
      <c r="WJ41" s="64"/>
      <c r="WK41" s="64"/>
      <c r="WL41" s="33"/>
      <c r="WM41" s="132"/>
      <c r="WN41" s="33"/>
      <c r="WO41" s="33"/>
      <c r="WP41" s="33"/>
      <c r="WQ41" s="33"/>
      <c r="WR41" s="33"/>
      <c r="WS41" s="137"/>
      <c r="WT41" s="33"/>
      <c r="WU41" s="33"/>
      <c r="WV41" s="33"/>
      <c r="WW41" s="33"/>
      <c r="WX41" s="33"/>
      <c r="WY41" s="74"/>
      <c r="WZ41" s="33"/>
      <c r="XA41" s="33"/>
      <c r="XB41" s="33"/>
      <c r="XC41" s="33"/>
      <c r="XD41" s="33"/>
      <c r="XE41" s="137"/>
      <c r="XF41" s="33"/>
      <c r="XG41" s="33"/>
      <c r="XH41" s="33"/>
      <c r="XI41" s="33"/>
      <c r="XJ41" s="33"/>
      <c r="XK41" s="74"/>
      <c r="XL41" s="64"/>
      <c r="XM41" s="64"/>
      <c r="XN41" s="64"/>
      <c r="XO41" s="64"/>
      <c r="XP41" s="33"/>
      <c r="XQ41" s="137"/>
      <c r="XR41" s="33"/>
      <c r="XS41" s="33"/>
      <c r="XT41" s="33"/>
      <c r="XU41" s="33"/>
      <c r="XV41" s="33"/>
      <c r="XW41" s="74"/>
      <c r="XX41" s="33"/>
      <c r="XY41" s="33"/>
      <c r="XZ41" s="33"/>
      <c r="YA41" s="33"/>
      <c r="YB41" s="33"/>
      <c r="YC41" s="137"/>
      <c r="YD41" s="33"/>
      <c r="YE41" s="33"/>
      <c r="YF41" s="33"/>
      <c r="YG41" s="33"/>
      <c r="YH41" s="33"/>
      <c r="YI41" s="74"/>
      <c r="YJ41" s="33"/>
      <c r="YK41" s="33"/>
      <c r="YL41" s="33"/>
      <c r="YM41" s="33"/>
      <c r="YN41" s="33"/>
      <c r="YO41" s="34"/>
      <c r="YP41" s="168"/>
      <c r="YQ41" s="169"/>
      <c r="YR41" s="169"/>
      <c r="YS41" s="169"/>
      <c r="YT41" s="170"/>
      <c r="YU41" s="171"/>
      <c r="YV41" s="170"/>
      <c r="YW41" s="170"/>
      <c r="YX41" s="170"/>
      <c r="YY41" s="170"/>
      <c r="YZ41" s="170"/>
      <c r="ZA41" s="172"/>
      <c r="ZB41" s="170"/>
      <c r="ZC41" s="170"/>
      <c r="ZD41" s="170"/>
      <c r="ZE41" s="170"/>
      <c r="ZF41" s="170"/>
      <c r="ZG41" s="173"/>
      <c r="ZH41" s="170"/>
      <c r="ZI41" s="170"/>
      <c r="ZJ41" s="170"/>
      <c r="ZK41" s="170"/>
      <c r="ZL41" s="170"/>
      <c r="ZM41" s="172"/>
      <c r="ZN41" s="170"/>
      <c r="ZO41" s="170"/>
      <c r="ZP41" s="170"/>
      <c r="ZQ41" s="170"/>
      <c r="ZR41" s="170"/>
      <c r="ZS41" s="173"/>
      <c r="ZT41" s="169"/>
      <c r="ZU41" s="169"/>
      <c r="ZV41" s="169"/>
      <c r="ZW41" s="169"/>
      <c r="ZX41" s="170"/>
      <c r="ZY41" s="172"/>
      <c r="ZZ41" s="33"/>
      <c r="AAA41" s="33"/>
      <c r="AAB41" s="33"/>
      <c r="AAC41" s="33"/>
      <c r="AAD41" s="33"/>
      <c r="AAE41" s="74"/>
      <c r="AAF41" s="33"/>
      <c r="AAG41" s="33"/>
      <c r="AAH41" s="33"/>
      <c r="AAI41" s="33"/>
      <c r="AAJ41" s="33"/>
      <c r="AAK41" s="137"/>
      <c r="AAL41" s="33"/>
      <c r="AAM41" s="33"/>
      <c r="AAN41" s="33"/>
      <c r="AAO41" s="33"/>
      <c r="AAP41" s="33"/>
      <c r="AAQ41" s="74"/>
      <c r="AAR41" s="33"/>
      <c r="AAS41" s="33"/>
      <c r="AAT41" s="33"/>
      <c r="AAU41" s="33"/>
      <c r="AAV41" s="33"/>
      <c r="AAW41" s="34"/>
      <c r="AAX41" s="168"/>
      <c r="AAY41" s="169"/>
      <c r="AAZ41" s="169"/>
      <c r="ABA41" s="169"/>
      <c r="ABB41" s="170"/>
      <c r="ABC41" s="171"/>
      <c r="ABD41" s="170"/>
      <c r="ABE41" s="170"/>
      <c r="ABF41" s="170"/>
      <c r="ABG41" s="170"/>
      <c r="ABH41" s="170"/>
      <c r="ABI41" s="172"/>
      <c r="ABJ41" s="170"/>
      <c r="ABK41" s="170"/>
      <c r="ABL41" s="170"/>
      <c r="ABM41" s="170"/>
      <c r="ABN41" s="170"/>
      <c r="ABO41" s="173"/>
      <c r="ABP41" s="170"/>
      <c r="ABQ41" s="170"/>
      <c r="ABR41" s="170"/>
      <c r="ABS41" s="170"/>
      <c r="ABT41" s="170"/>
      <c r="ABU41" s="172"/>
      <c r="ABV41" s="170"/>
      <c r="ABW41" s="170"/>
      <c r="ABX41" s="170"/>
      <c r="ABY41" s="170"/>
      <c r="ABZ41" s="170"/>
      <c r="ACA41" s="173"/>
      <c r="ACB41" s="169"/>
      <c r="ACC41" s="169"/>
      <c r="ACD41" s="169"/>
      <c r="ACE41" s="169"/>
      <c r="ACF41" s="170"/>
      <c r="ACG41" s="172"/>
      <c r="ACH41" s="33"/>
      <c r="ACI41" s="33"/>
      <c r="ACJ41" s="33"/>
      <c r="ACK41" s="33"/>
      <c r="ACL41" s="33"/>
      <c r="ACM41" s="74"/>
      <c r="ACN41" s="33"/>
      <c r="ACO41" s="33"/>
      <c r="ACP41" s="33"/>
      <c r="ACQ41" s="33"/>
      <c r="ACR41" s="33"/>
      <c r="ACS41" s="137"/>
      <c r="ACT41" s="33"/>
      <c r="ACU41" s="33"/>
      <c r="ACV41" s="33"/>
      <c r="ACW41" s="33"/>
      <c r="ACX41" s="33"/>
      <c r="ACY41" s="74"/>
      <c r="ACZ41" s="33"/>
      <c r="ADA41" s="33"/>
      <c r="ADB41" s="33"/>
      <c r="ADC41" s="33"/>
      <c r="ADD41" s="33"/>
      <c r="ADE41" s="34"/>
      <c r="ADF41" s="168"/>
      <c r="ADG41" s="169"/>
      <c r="ADH41" s="169"/>
      <c r="ADI41" s="169"/>
      <c r="ADJ41" s="170"/>
      <c r="ADK41" s="171"/>
      <c r="ADL41" s="170"/>
      <c r="ADM41" s="170"/>
      <c r="ADN41" s="170"/>
      <c r="ADO41" s="170"/>
      <c r="ADP41" s="170"/>
      <c r="ADQ41" s="172"/>
      <c r="ADR41" s="170"/>
      <c r="ADS41" s="170"/>
      <c r="ADT41" s="170"/>
      <c r="ADU41" s="170"/>
      <c r="ADV41" s="170"/>
      <c r="ADW41" s="173"/>
      <c r="ADX41" s="170"/>
      <c r="ADY41" s="170"/>
      <c r="ADZ41" s="170"/>
      <c r="AEA41" s="170"/>
      <c r="AEB41" s="170"/>
      <c r="AEC41" s="172"/>
      <c r="AED41" s="170"/>
      <c r="AEE41" s="170"/>
      <c r="AEF41" s="170"/>
      <c r="AEG41" s="170"/>
      <c r="AEH41" s="170"/>
      <c r="AEI41" s="173"/>
      <c r="AEJ41" s="169"/>
      <c r="AEK41" s="169"/>
      <c r="AEL41" s="169"/>
      <c r="AEM41" s="169"/>
      <c r="AEN41" s="170"/>
      <c r="AEO41" s="172"/>
      <c r="AEP41" s="33"/>
      <c r="AEQ41" s="33"/>
      <c r="AER41" s="33"/>
      <c r="AES41" s="33"/>
      <c r="AET41" s="33"/>
      <c r="AEU41" s="74"/>
      <c r="AEV41" s="33"/>
      <c r="AEW41" s="33"/>
      <c r="AEX41" s="33"/>
      <c r="AEY41" s="33"/>
      <c r="AEZ41" s="33"/>
      <c r="AFA41" s="137"/>
      <c r="AFB41" s="33"/>
      <c r="AFC41" s="33"/>
      <c r="AFD41" s="33"/>
      <c r="AFE41" s="33"/>
      <c r="AFF41" s="33"/>
      <c r="AFG41" s="74"/>
      <c r="AFH41" s="33"/>
      <c r="AFI41" s="33"/>
      <c r="AFJ41" s="33"/>
      <c r="AFK41" s="33"/>
      <c r="AFL41" s="33"/>
      <c r="AFM41" s="34"/>
      <c r="AFN41" s="90"/>
    </row>
    <row r="42" spans="1:846" ht="20.100000000000001" customHeight="1" x14ac:dyDescent="0.3">
      <c r="A42" s="100" t="s">
        <v>21</v>
      </c>
      <c r="B42" s="63" t="str">
        <f>IF(LEN(C69)=0,"",C69)</f>
        <v/>
      </c>
      <c r="C42" s="219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36"/>
      <c r="RS42" s="65"/>
      <c r="RT42" s="65"/>
      <c r="RU42" s="65"/>
      <c r="RV42" s="37"/>
      <c r="RW42" s="133"/>
      <c r="RX42" s="37"/>
      <c r="RY42" s="37"/>
      <c r="RZ42" s="37"/>
      <c r="SA42" s="37"/>
      <c r="SB42" s="37"/>
      <c r="SC42" s="138"/>
      <c r="SD42" s="37"/>
      <c r="SE42" s="37"/>
      <c r="SF42" s="37"/>
      <c r="SG42" s="37"/>
      <c r="SH42" s="37"/>
      <c r="SI42" s="75"/>
      <c r="SJ42" s="37"/>
      <c r="SK42" s="37"/>
      <c r="SL42" s="37"/>
      <c r="SM42" s="37"/>
      <c r="SN42" s="37"/>
      <c r="SO42" s="138"/>
      <c r="SP42" s="37"/>
      <c r="SQ42" s="37"/>
      <c r="SR42" s="37"/>
      <c r="SS42" s="37"/>
      <c r="ST42" s="37"/>
      <c r="SU42" s="75"/>
      <c r="SV42" s="65"/>
      <c r="SW42" s="65"/>
      <c r="SX42" s="65"/>
      <c r="SY42" s="65"/>
      <c r="SZ42" s="37"/>
      <c r="TA42" s="138"/>
      <c r="TB42" s="37"/>
      <c r="TC42" s="37"/>
      <c r="TD42" s="37"/>
      <c r="TE42" s="37"/>
      <c r="TF42" s="37"/>
      <c r="TG42" s="75"/>
      <c r="TH42" s="37"/>
      <c r="TI42" s="37"/>
      <c r="TJ42" s="37"/>
      <c r="TK42" s="37"/>
      <c r="TL42" s="37"/>
      <c r="TM42" s="138"/>
      <c r="TN42" s="37"/>
      <c r="TO42" s="37"/>
      <c r="TP42" s="37"/>
      <c r="TQ42" s="37"/>
      <c r="TR42" s="37"/>
      <c r="TS42" s="75"/>
      <c r="TT42" s="37"/>
      <c r="TU42" s="37"/>
      <c r="TV42" s="37"/>
      <c r="TW42" s="37"/>
      <c r="TX42" s="37"/>
      <c r="TY42" s="38"/>
      <c r="TZ42" s="36"/>
      <c r="UA42" s="65"/>
      <c r="UB42" s="65"/>
      <c r="UC42" s="65"/>
      <c r="UD42" s="37"/>
      <c r="UE42" s="133"/>
      <c r="UF42" s="37"/>
      <c r="UG42" s="37"/>
      <c r="UH42" s="37"/>
      <c r="UI42" s="37"/>
      <c r="UJ42" s="37"/>
      <c r="UK42" s="138"/>
      <c r="UL42" s="37"/>
      <c r="UM42" s="37"/>
      <c r="UN42" s="37"/>
      <c r="UO42" s="37"/>
      <c r="UP42" s="37"/>
      <c r="UQ42" s="75"/>
      <c r="UR42" s="37"/>
      <c r="US42" s="37"/>
      <c r="UT42" s="37"/>
      <c r="UU42" s="37"/>
      <c r="UV42" s="37"/>
      <c r="UW42" s="138"/>
      <c r="UX42" s="37"/>
      <c r="UY42" s="37"/>
      <c r="UZ42" s="37"/>
      <c r="VA42" s="37"/>
      <c r="VB42" s="37"/>
      <c r="VC42" s="75"/>
      <c r="VD42" s="65"/>
      <c r="VE42" s="65"/>
      <c r="VF42" s="65"/>
      <c r="VG42" s="65"/>
      <c r="VH42" s="37"/>
      <c r="VI42" s="138"/>
      <c r="VJ42" s="37"/>
      <c r="VK42" s="37"/>
      <c r="VL42" s="37"/>
      <c r="VM42" s="37"/>
      <c r="VN42" s="37"/>
      <c r="VO42" s="75"/>
      <c r="VP42" s="37"/>
      <c r="VQ42" s="37"/>
      <c r="VR42" s="37"/>
      <c r="VS42" s="37"/>
      <c r="VT42" s="37"/>
      <c r="VU42" s="138"/>
      <c r="VV42" s="37"/>
      <c r="VW42" s="37"/>
      <c r="VX42" s="37"/>
      <c r="VY42" s="37"/>
      <c r="VZ42" s="37"/>
      <c r="WA42" s="75"/>
      <c r="WB42" s="37"/>
      <c r="WC42" s="37"/>
      <c r="WD42" s="37"/>
      <c r="WE42" s="37"/>
      <c r="WF42" s="37"/>
      <c r="WG42" s="38"/>
      <c r="WH42" s="36"/>
      <c r="WI42" s="65"/>
      <c r="WJ42" s="65"/>
      <c r="WK42" s="65"/>
      <c r="WL42" s="37"/>
      <c r="WM42" s="133"/>
      <c r="WN42" s="37"/>
      <c r="WO42" s="37"/>
      <c r="WP42" s="37"/>
      <c r="WQ42" s="37"/>
      <c r="WR42" s="37"/>
      <c r="WS42" s="138"/>
      <c r="WT42" s="37"/>
      <c r="WU42" s="37"/>
      <c r="WV42" s="37"/>
      <c r="WW42" s="37"/>
      <c r="WX42" s="37"/>
      <c r="WY42" s="75"/>
      <c r="WZ42" s="37"/>
      <c r="XA42" s="37"/>
      <c r="XB42" s="37"/>
      <c r="XC42" s="37"/>
      <c r="XD42" s="37"/>
      <c r="XE42" s="138"/>
      <c r="XF42" s="37"/>
      <c r="XG42" s="37"/>
      <c r="XH42" s="37"/>
      <c r="XI42" s="37"/>
      <c r="XJ42" s="37"/>
      <c r="XK42" s="75"/>
      <c r="XL42" s="65"/>
      <c r="XM42" s="65"/>
      <c r="XN42" s="65"/>
      <c r="XO42" s="65"/>
      <c r="XP42" s="37"/>
      <c r="XQ42" s="138"/>
      <c r="XR42" s="37"/>
      <c r="XS42" s="37"/>
      <c r="XT42" s="37"/>
      <c r="XU42" s="37"/>
      <c r="XV42" s="37"/>
      <c r="XW42" s="75"/>
      <c r="XX42" s="37"/>
      <c r="XY42" s="37"/>
      <c r="XZ42" s="37"/>
      <c r="YA42" s="37"/>
      <c r="YB42" s="37"/>
      <c r="YC42" s="138"/>
      <c r="YD42" s="37"/>
      <c r="YE42" s="37"/>
      <c r="YF42" s="37"/>
      <c r="YG42" s="37"/>
      <c r="YH42" s="37"/>
      <c r="YI42" s="75"/>
      <c r="YJ42" s="37"/>
      <c r="YK42" s="37"/>
      <c r="YL42" s="37"/>
      <c r="YM42" s="37"/>
      <c r="YN42" s="37"/>
      <c r="YO42" s="38"/>
      <c r="YP42" s="36"/>
      <c r="YQ42" s="65"/>
      <c r="YR42" s="65"/>
      <c r="YS42" s="65"/>
      <c r="YT42" s="37"/>
      <c r="YU42" s="133"/>
      <c r="YV42" s="37"/>
      <c r="YW42" s="37"/>
      <c r="YX42" s="37"/>
      <c r="YY42" s="37"/>
      <c r="YZ42" s="37"/>
      <c r="ZA42" s="138"/>
      <c r="ZB42" s="37"/>
      <c r="ZC42" s="37"/>
      <c r="ZD42" s="37"/>
      <c r="ZE42" s="37"/>
      <c r="ZF42" s="37"/>
      <c r="ZG42" s="75"/>
      <c r="ZH42" s="37"/>
      <c r="ZI42" s="37"/>
      <c r="ZJ42" s="37"/>
      <c r="ZK42" s="37"/>
      <c r="ZL42" s="37"/>
      <c r="ZM42" s="138"/>
      <c r="ZN42" s="37"/>
      <c r="ZO42" s="37"/>
      <c r="ZP42" s="37"/>
      <c r="ZQ42" s="37"/>
      <c r="ZR42" s="37"/>
      <c r="ZS42" s="75"/>
      <c r="ZT42" s="65"/>
      <c r="ZU42" s="65"/>
      <c r="ZV42" s="65"/>
      <c r="ZW42" s="65"/>
      <c r="ZX42" s="37"/>
      <c r="ZY42" s="138"/>
      <c r="ZZ42" s="37"/>
      <c r="AAA42" s="37"/>
      <c r="AAB42" s="37"/>
      <c r="AAC42" s="37"/>
      <c r="AAD42" s="37"/>
      <c r="AAE42" s="75"/>
      <c r="AAF42" s="37"/>
      <c r="AAG42" s="37"/>
      <c r="AAH42" s="37"/>
      <c r="AAI42" s="37"/>
      <c r="AAJ42" s="37"/>
      <c r="AAK42" s="138"/>
      <c r="AAL42" s="37"/>
      <c r="AAM42" s="37"/>
      <c r="AAN42" s="37"/>
      <c r="AAO42" s="37"/>
      <c r="AAP42" s="37"/>
      <c r="AAQ42" s="75"/>
      <c r="AAR42" s="37"/>
      <c r="AAS42" s="37"/>
      <c r="AAT42" s="37"/>
      <c r="AAU42" s="37"/>
      <c r="AAV42" s="37"/>
      <c r="AAW42" s="38"/>
      <c r="AAX42" s="36"/>
      <c r="AAY42" s="65"/>
      <c r="AAZ42" s="65"/>
      <c r="ABA42" s="65"/>
      <c r="ABB42" s="37"/>
      <c r="ABC42" s="133"/>
      <c r="ABD42" s="37"/>
      <c r="ABE42" s="37"/>
      <c r="ABF42" s="37"/>
      <c r="ABG42" s="37"/>
      <c r="ABH42" s="37"/>
      <c r="ABI42" s="138"/>
      <c r="ABJ42" s="37"/>
      <c r="ABK42" s="37"/>
      <c r="ABL42" s="37"/>
      <c r="ABM42" s="37"/>
      <c r="ABN42" s="37"/>
      <c r="ABO42" s="75"/>
      <c r="ABP42" s="37"/>
      <c r="ABQ42" s="37"/>
      <c r="ABR42" s="37"/>
      <c r="ABS42" s="37"/>
      <c r="ABT42" s="37"/>
      <c r="ABU42" s="138"/>
      <c r="ABV42" s="37"/>
      <c r="ABW42" s="37"/>
      <c r="ABX42" s="37"/>
      <c r="ABY42" s="37"/>
      <c r="ABZ42" s="37"/>
      <c r="ACA42" s="75"/>
      <c r="ACB42" s="65"/>
      <c r="ACC42" s="65"/>
      <c r="ACD42" s="65"/>
      <c r="ACE42" s="65"/>
      <c r="ACF42" s="37"/>
      <c r="ACG42" s="138"/>
      <c r="ACH42" s="37"/>
      <c r="ACI42" s="37"/>
      <c r="ACJ42" s="37"/>
      <c r="ACK42" s="37"/>
      <c r="ACL42" s="37"/>
      <c r="ACM42" s="75"/>
      <c r="ACN42" s="37"/>
      <c r="ACO42" s="37"/>
      <c r="ACP42" s="37"/>
      <c r="ACQ42" s="37"/>
      <c r="ACR42" s="37"/>
      <c r="ACS42" s="138"/>
      <c r="ACT42" s="37"/>
      <c r="ACU42" s="37"/>
      <c r="ACV42" s="37"/>
      <c r="ACW42" s="37"/>
      <c r="ACX42" s="37"/>
      <c r="ACY42" s="75"/>
      <c r="ACZ42" s="37"/>
      <c r="ADA42" s="37"/>
      <c r="ADB42" s="37"/>
      <c r="ADC42" s="37"/>
      <c r="ADD42" s="37"/>
      <c r="ADE42" s="38"/>
      <c r="ADF42" s="36"/>
      <c r="ADG42" s="65"/>
      <c r="ADH42" s="65"/>
      <c r="ADI42" s="65"/>
      <c r="ADJ42" s="37"/>
      <c r="ADK42" s="133"/>
      <c r="ADL42" s="37"/>
      <c r="ADM42" s="37"/>
      <c r="ADN42" s="37"/>
      <c r="ADO42" s="37"/>
      <c r="ADP42" s="37"/>
      <c r="ADQ42" s="138"/>
      <c r="ADR42" s="37"/>
      <c r="ADS42" s="37"/>
      <c r="ADT42" s="37"/>
      <c r="ADU42" s="37"/>
      <c r="ADV42" s="37"/>
      <c r="ADW42" s="75"/>
      <c r="ADX42" s="37"/>
      <c r="ADY42" s="37"/>
      <c r="ADZ42" s="37"/>
      <c r="AEA42" s="37"/>
      <c r="AEB42" s="37"/>
      <c r="AEC42" s="138"/>
      <c r="AED42" s="37"/>
      <c r="AEE42" s="37"/>
      <c r="AEF42" s="37"/>
      <c r="AEG42" s="37"/>
      <c r="AEH42" s="37"/>
      <c r="AEI42" s="75"/>
      <c r="AEJ42" s="65"/>
      <c r="AEK42" s="65"/>
      <c r="AEL42" s="65"/>
      <c r="AEM42" s="65"/>
      <c r="AEN42" s="37"/>
      <c r="AEO42" s="138"/>
      <c r="AEP42" s="37"/>
      <c r="AEQ42" s="37"/>
      <c r="AER42" s="37"/>
      <c r="AES42" s="37"/>
      <c r="AET42" s="37"/>
      <c r="AEU42" s="75"/>
      <c r="AEV42" s="37"/>
      <c r="AEW42" s="37"/>
      <c r="AEX42" s="37"/>
      <c r="AEY42" s="37"/>
      <c r="AEZ42" s="37"/>
      <c r="AFA42" s="138"/>
      <c r="AFB42" s="37"/>
      <c r="AFC42" s="37"/>
      <c r="AFD42" s="37"/>
      <c r="AFE42" s="37"/>
      <c r="AFF42" s="37"/>
      <c r="AFG42" s="75"/>
      <c r="AFH42" s="37"/>
      <c r="AFI42" s="37"/>
      <c r="AFJ42" s="37"/>
      <c r="AFK42" s="37"/>
      <c r="AFL42" s="37"/>
      <c r="AFM42" s="38"/>
      <c r="AFN42" s="90"/>
    </row>
    <row r="43" spans="1:846" ht="20.100000000000001" customHeight="1" x14ac:dyDescent="0.25">
      <c r="A43" s="100" t="s">
        <v>20</v>
      </c>
      <c r="B43" s="63" t="str">
        <f>IF(LEN(C71)=0,"",C71)</f>
        <v/>
      </c>
      <c r="C43" s="218" t="s">
        <v>101</v>
      </c>
      <c r="D43" s="146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32"/>
      <c r="RS43" s="64"/>
      <c r="RT43" s="64"/>
      <c r="RU43" s="64"/>
      <c r="RV43" s="33"/>
      <c r="RW43" s="132"/>
      <c r="RX43" s="33"/>
      <c r="RY43" s="33"/>
      <c r="RZ43" s="33"/>
      <c r="SA43" s="33"/>
      <c r="SB43" s="33"/>
      <c r="SC43" s="137"/>
      <c r="SD43" s="33"/>
      <c r="SE43" s="33"/>
      <c r="SF43" s="33"/>
      <c r="SG43" s="33"/>
      <c r="SH43" s="33"/>
      <c r="SI43" s="74"/>
      <c r="SJ43" s="33"/>
      <c r="SK43" s="33"/>
      <c r="SL43" s="33"/>
      <c r="SM43" s="33"/>
      <c r="SN43" s="33"/>
      <c r="SO43" s="137"/>
      <c r="SP43" s="33"/>
      <c r="SQ43" s="33"/>
      <c r="SR43" s="33"/>
      <c r="SS43" s="33"/>
      <c r="ST43" s="33"/>
      <c r="SU43" s="74"/>
      <c r="SV43" s="64"/>
      <c r="SW43" s="64"/>
      <c r="SX43" s="64"/>
      <c r="SY43" s="64"/>
      <c r="SZ43" s="33"/>
      <c r="TA43" s="137"/>
      <c r="TB43" s="33"/>
      <c r="TC43" s="33"/>
      <c r="TD43" s="33"/>
      <c r="TE43" s="33"/>
      <c r="TF43" s="33"/>
      <c r="TG43" s="74"/>
      <c r="TH43" s="33"/>
      <c r="TI43" s="33"/>
      <c r="TJ43" s="33"/>
      <c r="TK43" s="33"/>
      <c r="TL43" s="33"/>
      <c r="TM43" s="137"/>
      <c r="TN43" s="33"/>
      <c r="TO43" s="33"/>
      <c r="TP43" s="33"/>
      <c r="TQ43" s="33"/>
      <c r="TR43" s="33"/>
      <c r="TS43" s="74"/>
      <c r="TT43" s="33"/>
      <c r="TU43" s="33"/>
      <c r="TV43" s="33"/>
      <c r="TW43" s="33"/>
      <c r="TX43" s="33"/>
      <c r="TY43" s="34"/>
      <c r="TZ43" s="32"/>
      <c r="UA43" s="64"/>
      <c r="UB43" s="64"/>
      <c r="UC43" s="64"/>
      <c r="UD43" s="33"/>
      <c r="UE43" s="132"/>
      <c r="UF43" s="33"/>
      <c r="UG43" s="33"/>
      <c r="UH43" s="33"/>
      <c r="UI43" s="33"/>
      <c r="UJ43" s="33"/>
      <c r="UK43" s="137"/>
      <c r="UL43" s="33"/>
      <c r="UM43" s="33"/>
      <c r="UN43" s="33"/>
      <c r="UO43" s="33"/>
      <c r="UP43" s="33"/>
      <c r="UQ43" s="74"/>
      <c r="UR43" s="33"/>
      <c r="US43" s="33"/>
      <c r="UT43" s="33"/>
      <c r="UU43" s="33"/>
      <c r="UV43" s="33"/>
      <c r="UW43" s="137"/>
      <c r="UX43" s="33"/>
      <c r="UY43" s="33"/>
      <c r="UZ43" s="33"/>
      <c r="VA43" s="33"/>
      <c r="VB43" s="33"/>
      <c r="VC43" s="74"/>
      <c r="VD43" s="64"/>
      <c r="VE43" s="64"/>
      <c r="VF43" s="64"/>
      <c r="VG43" s="64"/>
      <c r="VH43" s="33"/>
      <c r="VI43" s="137"/>
      <c r="VJ43" s="33"/>
      <c r="VK43" s="33"/>
      <c r="VL43" s="33"/>
      <c r="VM43" s="33"/>
      <c r="VN43" s="33"/>
      <c r="VO43" s="74"/>
      <c r="VP43" s="33"/>
      <c r="VQ43" s="33"/>
      <c r="VR43" s="33"/>
      <c r="VS43" s="33"/>
      <c r="VT43" s="33"/>
      <c r="VU43" s="137"/>
      <c r="VV43" s="33"/>
      <c r="VW43" s="33"/>
      <c r="VX43" s="33"/>
      <c r="VY43" s="33"/>
      <c r="VZ43" s="33"/>
      <c r="WA43" s="74"/>
      <c r="WB43" s="33"/>
      <c r="WC43" s="33"/>
      <c r="WD43" s="33"/>
      <c r="WE43" s="33"/>
      <c r="WF43" s="33"/>
      <c r="WG43" s="34"/>
      <c r="WH43" s="32"/>
      <c r="WI43" s="64"/>
      <c r="WJ43" s="64"/>
      <c r="WK43" s="64"/>
      <c r="WL43" s="33"/>
      <c r="WM43" s="132"/>
      <c r="WN43" s="33"/>
      <c r="WO43" s="33"/>
      <c r="WP43" s="33"/>
      <c r="WQ43" s="33"/>
      <c r="WR43" s="33"/>
      <c r="WS43" s="137"/>
      <c r="WT43" s="33"/>
      <c r="WU43" s="33"/>
      <c r="WV43" s="33"/>
      <c r="WW43" s="33"/>
      <c r="WX43" s="33"/>
      <c r="WY43" s="74"/>
      <c r="WZ43" s="33"/>
      <c r="XA43" s="33"/>
      <c r="XB43" s="33"/>
      <c r="XC43" s="33"/>
      <c r="XD43" s="33"/>
      <c r="XE43" s="137"/>
      <c r="XF43" s="33"/>
      <c r="XG43" s="33"/>
      <c r="XH43" s="33"/>
      <c r="XI43" s="33"/>
      <c r="XJ43" s="33"/>
      <c r="XK43" s="74"/>
      <c r="XL43" s="64"/>
      <c r="XM43" s="64"/>
      <c r="XN43" s="64"/>
      <c r="XO43" s="64"/>
      <c r="XP43" s="33"/>
      <c r="XQ43" s="137"/>
      <c r="XR43" s="33"/>
      <c r="XS43" s="33"/>
      <c r="XT43" s="33"/>
      <c r="XU43" s="33"/>
      <c r="XV43" s="33"/>
      <c r="XW43" s="74"/>
      <c r="XX43" s="33"/>
      <c r="XY43" s="33"/>
      <c r="XZ43" s="33"/>
      <c r="YA43" s="33"/>
      <c r="YB43" s="33"/>
      <c r="YC43" s="137"/>
      <c r="YD43" s="33"/>
      <c r="YE43" s="33"/>
      <c r="YF43" s="33"/>
      <c r="YG43" s="33"/>
      <c r="YH43" s="33"/>
      <c r="YI43" s="74"/>
      <c r="YJ43" s="33"/>
      <c r="YK43" s="33"/>
      <c r="YL43" s="33"/>
      <c r="YM43" s="33"/>
      <c r="YN43" s="33"/>
      <c r="YO43" s="34"/>
      <c r="YP43" s="32"/>
      <c r="YQ43" s="64"/>
      <c r="YR43" s="64"/>
      <c r="YS43" s="64"/>
      <c r="YT43" s="33"/>
      <c r="YU43" s="132"/>
      <c r="YV43" s="33"/>
      <c r="YW43" s="33"/>
      <c r="YX43" s="33"/>
      <c r="YY43" s="33"/>
      <c r="YZ43" s="33"/>
      <c r="ZA43" s="137"/>
      <c r="ZB43" s="33"/>
      <c r="ZC43" s="33"/>
      <c r="ZD43" s="33"/>
      <c r="ZE43" s="33"/>
      <c r="ZF43" s="33"/>
      <c r="ZG43" s="74"/>
      <c r="ZH43" s="33"/>
      <c r="ZI43" s="33"/>
      <c r="ZJ43" s="33"/>
      <c r="ZK43" s="33"/>
      <c r="ZL43" s="33"/>
      <c r="ZM43" s="137"/>
      <c r="ZN43" s="33"/>
      <c r="ZO43" s="33"/>
      <c r="ZP43" s="33"/>
      <c r="ZQ43" s="33"/>
      <c r="ZR43" s="33"/>
      <c r="ZS43" s="74"/>
      <c r="ZT43" s="64"/>
      <c r="ZU43" s="64"/>
      <c r="ZV43" s="64"/>
      <c r="ZW43" s="64"/>
      <c r="ZX43" s="33"/>
      <c r="ZY43" s="137"/>
      <c r="ZZ43" s="33"/>
      <c r="AAA43" s="33"/>
      <c r="AAB43" s="33"/>
      <c r="AAC43" s="33"/>
      <c r="AAD43" s="33"/>
      <c r="AAE43" s="74"/>
      <c r="AAF43" s="33"/>
      <c r="AAG43" s="33"/>
      <c r="AAH43" s="33"/>
      <c r="AAI43" s="33"/>
      <c r="AAJ43" s="33"/>
      <c r="AAK43" s="137"/>
      <c r="AAL43" s="33"/>
      <c r="AAM43" s="33"/>
      <c r="AAN43" s="33"/>
      <c r="AAO43" s="33"/>
      <c r="AAP43" s="33"/>
      <c r="AAQ43" s="74"/>
      <c r="AAR43" s="33"/>
      <c r="AAS43" s="33"/>
      <c r="AAT43" s="33"/>
      <c r="AAU43" s="33"/>
      <c r="AAV43" s="33"/>
      <c r="AAW43" s="34"/>
      <c r="AAX43" s="32"/>
      <c r="AAY43" s="64"/>
      <c r="AAZ43" s="64"/>
      <c r="ABA43" s="64"/>
      <c r="ABB43" s="33"/>
      <c r="ABC43" s="132"/>
      <c r="ABD43" s="33"/>
      <c r="ABE43" s="33"/>
      <c r="ABF43" s="33"/>
      <c r="ABG43" s="33"/>
      <c r="ABH43" s="33"/>
      <c r="ABI43" s="137"/>
      <c r="ABJ43" s="33"/>
      <c r="ABK43" s="33"/>
      <c r="ABL43" s="33"/>
      <c r="ABM43" s="33"/>
      <c r="ABN43" s="33"/>
      <c r="ABO43" s="74"/>
      <c r="ABP43" s="33"/>
      <c r="ABQ43" s="33"/>
      <c r="ABR43" s="33"/>
      <c r="ABS43" s="33"/>
      <c r="ABT43" s="33"/>
      <c r="ABU43" s="137"/>
      <c r="ABV43" s="33"/>
      <c r="ABW43" s="33"/>
      <c r="ABX43" s="33"/>
      <c r="ABY43" s="33"/>
      <c r="ABZ43" s="33"/>
      <c r="ACA43" s="74"/>
      <c r="ACB43" s="64"/>
      <c r="ACC43" s="64"/>
      <c r="ACD43" s="64"/>
      <c r="ACE43" s="64"/>
      <c r="ACF43" s="33"/>
      <c r="ACG43" s="137"/>
      <c r="ACH43" s="33"/>
      <c r="ACI43" s="33"/>
      <c r="ACJ43" s="33"/>
      <c r="ACK43" s="33"/>
      <c r="ACL43" s="33"/>
      <c r="ACM43" s="74"/>
      <c r="ACN43" s="33"/>
      <c r="ACO43" s="33"/>
      <c r="ACP43" s="33"/>
      <c r="ACQ43" s="33"/>
      <c r="ACR43" s="33"/>
      <c r="ACS43" s="137"/>
      <c r="ACT43" s="33"/>
      <c r="ACU43" s="33"/>
      <c r="ACV43" s="33"/>
      <c r="ACW43" s="33"/>
      <c r="ACX43" s="33"/>
      <c r="ACY43" s="74"/>
      <c r="ACZ43" s="33"/>
      <c r="ADA43" s="33"/>
      <c r="ADB43" s="33"/>
      <c r="ADC43" s="33"/>
      <c r="ADD43" s="33"/>
      <c r="ADE43" s="34"/>
      <c r="ADF43" s="32"/>
      <c r="ADG43" s="64"/>
      <c r="ADH43" s="64"/>
      <c r="ADI43" s="64"/>
      <c r="ADJ43" s="33"/>
      <c r="ADK43" s="132"/>
      <c r="ADL43" s="33"/>
      <c r="ADM43" s="33"/>
      <c r="ADN43" s="33"/>
      <c r="ADO43" s="33"/>
      <c r="ADP43" s="33"/>
      <c r="ADQ43" s="137"/>
      <c r="ADR43" s="33"/>
      <c r="ADS43" s="33"/>
      <c r="ADT43" s="33"/>
      <c r="ADU43" s="33"/>
      <c r="ADV43" s="33"/>
      <c r="ADW43" s="74"/>
      <c r="ADX43" s="33"/>
      <c r="ADY43" s="33"/>
      <c r="ADZ43" s="33"/>
      <c r="AEA43" s="33"/>
      <c r="AEB43" s="33"/>
      <c r="AEC43" s="137"/>
      <c r="AED43" s="33"/>
      <c r="AEE43" s="33"/>
      <c r="AEF43" s="33"/>
      <c r="AEG43" s="33"/>
      <c r="AEH43" s="33"/>
      <c r="AEI43" s="74"/>
      <c r="AEJ43" s="64"/>
      <c r="AEK43" s="64"/>
      <c r="AEL43" s="64"/>
      <c r="AEM43" s="64"/>
      <c r="AEN43" s="33"/>
      <c r="AEO43" s="137"/>
      <c r="AEP43" s="33"/>
      <c r="AEQ43" s="33"/>
      <c r="AER43" s="33"/>
      <c r="AES43" s="33"/>
      <c r="AET43" s="33"/>
      <c r="AEU43" s="74"/>
      <c r="AEV43" s="33"/>
      <c r="AEW43" s="33"/>
      <c r="AEX43" s="33"/>
      <c r="AEY43" s="33"/>
      <c r="AEZ43" s="33"/>
      <c r="AFA43" s="137"/>
      <c r="AFB43" s="33"/>
      <c r="AFC43" s="33"/>
      <c r="AFD43" s="33"/>
      <c r="AFE43" s="33"/>
      <c r="AFF43" s="33"/>
      <c r="AFG43" s="74"/>
      <c r="AFH43" s="33"/>
      <c r="AFI43" s="33"/>
      <c r="AFJ43" s="33"/>
      <c r="AFK43" s="33"/>
      <c r="AFL43" s="33"/>
      <c r="AFM43" s="34"/>
      <c r="AFN43" s="90"/>
    </row>
    <row r="44" spans="1:846" ht="20.100000000000001" customHeight="1" x14ac:dyDescent="0.3">
      <c r="A44" s="100" t="s">
        <v>21</v>
      </c>
      <c r="B44" s="63" t="str">
        <f>IF(LEN(C73)=0,"",C73)</f>
        <v/>
      </c>
      <c r="C44" s="219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36"/>
      <c r="RS44" s="65"/>
      <c r="RT44" s="65"/>
      <c r="RU44" s="65"/>
      <c r="RV44" s="37"/>
      <c r="RW44" s="133"/>
      <c r="RX44" s="37"/>
      <c r="RY44" s="37"/>
      <c r="RZ44" s="37"/>
      <c r="SA44" s="37"/>
      <c r="SB44" s="37"/>
      <c r="SC44" s="138"/>
      <c r="SD44" s="37"/>
      <c r="SE44" s="37"/>
      <c r="SF44" s="37"/>
      <c r="SG44" s="37"/>
      <c r="SH44" s="37"/>
      <c r="SI44" s="75"/>
      <c r="SJ44" s="37"/>
      <c r="SK44" s="37"/>
      <c r="SL44" s="37"/>
      <c r="SM44" s="37"/>
      <c r="SN44" s="37"/>
      <c r="SO44" s="138"/>
      <c r="SP44" s="37"/>
      <c r="SQ44" s="37"/>
      <c r="SR44" s="37"/>
      <c r="SS44" s="37"/>
      <c r="ST44" s="37"/>
      <c r="SU44" s="75"/>
      <c r="SV44" s="65"/>
      <c r="SW44" s="65"/>
      <c r="SX44" s="65"/>
      <c r="SY44" s="65"/>
      <c r="SZ44" s="37"/>
      <c r="TA44" s="138"/>
      <c r="TB44" s="37"/>
      <c r="TC44" s="37"/>
      <c r="TD44" s="37"/>
      <c r="TE44" s="37"/>
      <c r="TF44" s="37"/>
      <c r="TG44" s="75"/>
      <c r="TH44" s="37"/>
      <c r="TI44" s="37"/>
      <c r="TJ44" s="37"/>
      <c r="TK44" s="37"/>
      <c r="TL44" s="37"/>
      <c r="TM44" s="138"/>
      <c r="TN44" s="37"/>
      <c r="TO44" s="37"/>
      <c r="TP44" s="37"/>
      <c r="TQ44" s="37"/>
      <c r="TR44" s="37"/>
      <c r="TS44" s="75"/>
      <c r="TT44" s="37"/>
      <c r="TU44" s="37"/>
      <c r="TV44" s="37"/>
      <c r="TW44" s="37"/>
      <c r="TX44" s="37"/>
      <c r="TY44" s="38"/>
      <c r="TZ44" s="36"/>
      <c r="UA44" s="65"/>
      <c r="UB44" s="65"/>
      <c r="UC44" s="65"/>
      <c r="UD44" s="37"/>
      <c r="UE44" s="133"/>
      <c r="UF44" s="37"/>
      <c r="UG44" s="37"/>
      <c r="UH44" s="37"/>
      <c r="UI44" s="37"/>
      <c r="UJ44" s="37"/>
      <c r="UK44" s="138"/>
      <c r="UL44" s="37"/>
      <c r="UM44" s="37"/>
      <c r="UN44" s="37"/>
      <c r="UO44" s="37"/>
      <c r="UP44" s="37"/>
      <c r="UQ44" s="75"/>
      <c r="UR44" s="37"/>
      <c r="US44" s="37"/>
      <c r="UT44" s="37"/>
      <c r="UU44" s="37"/>
      <c r="UV44" s="37"/>
      <c r="UW44" s="138"/>
      <c r="UX44" s="37"/>
      <c r="UY44" s="37"/>
      <c r="UZ44" s="37"/>
      <c r="VA44" s="37"/>
      <c r="VB44" s="37"/>
      <c r="VC44" s="75"/>
      <c r="VD44" s="65"/>
      <c r="VE44" s="65"/>
      <c r="VF44" s="65"/>
      <c r="VG44" s="65"/>
      <c r="VH44" s="37"/>
      <c r="VI44" s="138"/>
      <c r="VJ44" s="37"/>
      <c r="VK44" s="37"/>
      <c r="VL44" s="37"/>
      <c r="VM44" s="37"/>
      <c r="VN44" s="37"/>
      <c r="VO44" s="75"/>
      <c r="VP44" s="37"/>
      <c r="VQ44" s="37"/>
      <c r="VR44" s="37"/>
      <c r="VS44" s="37"/>
      <c r="VT44" s="37"/>
      <c r="VU44" s="138"/>
      <c r="VV44" s="37"/>
      <c r="VW44" s="37"/>
      <c r="VX44" s="37"/>
      <c r="VY44" s="37"/>
      <c r="VZ44" s="37"/>
      <c r="WA44" s="75"/>
      <c r="WB44" s="37"/>
      <c r="WC44" s="37"/>
      <c r="WD44" s="37"/>
      <c r="WE44" s="37"/>
      <c r="WF44" s="37"/>
      <c r="WG44" s="38"/>
      <c r="WH44" s="36"/>
      <c r="WI44" s="65"/>
      <c r="WJ44" s="65"/>
      <c r="WK44" s="65"/>
      <c r="WL44" s="37"/>
      <c r="WM44" s="133"/>
      <c r="WN44" s="37"/>
      <c r="WO44" s="37"/>
      <c r="WP44" s="37"/>
      <c r="WQ44" s="37"/>
      <c r="WR44" s="37"/>
      <c r="WS44" s="138"/>
      <c r="WT44" s="37"/>
      <c r="WU44" s="37"/>
      <c r="WV44" s="37"/>
      <c r="WW44" s="37"/>
      <c r="WX44" s="37"/>
      <c r="WY44" s="75"/>
      <c r="WZ44" s="37"/>
      <c r="XA44" s="37"/>
      <c r="XB44" s="37"/>
      <c r="XC44" s="37"/>
      <c r="XD44" s="37"/>
      <c r="XE44" s="138"/>
      <c r="XF44" s="37"/>
      <c r="XG44" s="37"/>
      <c r="XH44" s="37"/>
      <c r="XI44" s="37"/>
      <c r="XJ44" s="37"/>
      <c r="XK44" s="75"/>
      <c r="XL44" s="65"/>
      <c r="XM44" s="65"/>
      <c r="XN44" s="65"/>
      <c r="XO44" s="65"/>
      <c r="XP44" s="37"/>
      <c r="XQ44" s="138"/>
      <c r="XR44" s="37"/>
      <c r="XS44" s="37"/>
      <c r="XT44" s="37"/>
      <c r="XU44" s="37"/>
      <c r="XV44" s="37"/>
      <c r="XW44" s="75"/>
      <c r="XX44" s="37"/>
      <c r="XY44" s="37"/>
      <c r="XZ44" s="37"/>
      <c r="YA44" s="37"/>
      <c r="YB44" s="37"/>
      <c r="YC44" s="138"/>
      <c r="YD44" s="37"/>
      <c r="YE44" s="37"/>
      <c r="YF44" s="37"/>
      <c r="YG44" s="37"/>
      <c r="YH44" s="37"/>
      <c r="YI44" s="75"/>
      <c r="YJ44" s="37"/>
      <c r="YK44" s="37"/>
      <c r="YL44" s="37"/>
      <c r="YM44" s="37"/>
      <c r="YN44" s="37"/>
      <c r="YO44" s="38"/>
      <c r="YP44" s="36"/>
      <c r="YQ44" s="65"/>
      <c r="YR44" s="65"/>
      <c r="YS44" s="65"/>
      <c r="YT44" s="37"/>
      <c r="YU44" s="133"/>
      <c r="YV44" s="37"/>
      <c r="YW44" s="37"/>
      <c r="YX44" s="37"/>
      <c r="YY44" s="37"/>
      <c r="YZ44" s="37"/>
      <c r="ZA44" s="138"/>
      <c r="ZB44" s="37"/>
      <c r="ZC44" s="37"/>
      <c r="ZD44" s="37"/>
      <c r="ZE44" s="37"/>
      <c r="ZF44" s="37"/>
      <c r="ZG44" s="75"/>
      <c r="ZH44" s="37"/>
      <c r="ZI44" s="37"/>
      <c r="ZJ44" s="37"/>
      <c r="ZK44" s="37"/>
      <c r="ZL44" s="37"/>
      <c r="ZM44" s="138"/>
      <c r="ZN44" s="37"/>
      <c r="ZO44" s="37"/>
      <c r="ZP44" s="37"/>
      <c r="ZQ44" s="37"/>
      <c r="ZR44" s="37"/>
      <c r="ZS44" s="75"/>
      <c r="ZT44" s="65"/>
      <c r="ZU44" s="65"/>
      <c r="ZV44" s="65"/>
      <c r="ZW44" s="65"/>
      <c r="ZX44" s="37"/>
      <c r="ZY44" s="138"/>
      <c r="ZZ44" s="37"/>
      <c r="AAA44" s="37"/>
      <c r="AAB44" s="37"/>
      <c r="AAC44" s="37"/>
      <c r="AAD44" s="37"/>
      <c r="AAE44" s="75"/>
      <c r="AAF44" s="37"/>
      <c r="AAG44" s="37"/>
      <c r="AAH44" s="37"/>
      <c r="AAI44" s="37"/>
      <c r="AAJ44" s="37"/>
      <c r="AAK44" s="138"/>
      <c r="AAL44" s="37"/>
      <c r="AAM44" s="37"/>
      <c r="AAN44" s="37"/>
      <c r="AAO44" s="37"/>
      <c r="AAP44" s="37"/>
      <c r="AAQ44" s="75"/>
      <c r="AAR44" s="37"/>
      <c r="AAS44" s="37"/>
      <c r="AAT44" s="37"/>
      <c r="AAU44" s="37"/>
      <c r="AAV44" s="37"/>
      <c r="AAW44" s="38"/>
      <c r="AAX44" s="36"/>
      <c r="AAY44" s="65"/>
      <c r="AAZ44" s="65"/>
      <c r="ABA44" s="65"/>
      <c r="ABB44" s="37"/>
      <c r="ABC44" s="133"/>
      <c r="ABD44" s="37"/>
      <c r="ABE44" s="37"/>
      <c r="ABF44" s="37"/>
      <c r="ABG44" s="37"/>
      <c r="ABH44" s="37"/>
      <c r="ABI44" s="138"/>
      <c r="ABJ44" s="37"/>
      <c r="ABK44" s="37"/>
      <c r="ABL44" s="37"/>
      <c r="ABM44" s="37"/>
      <c r="ABN44" s="37"/>
      <c r="ABO44" s="75"/>
      <c r="ABP44" s="37"/>
      <c r="ABQ44" s="37"/>
      <c r="ABR44" s="37"/>
      <c r="ABS44" s="37"/>
      <c r="ABT44" s="37"/>
      <c r="ABU44" s="138"/>
      <c r="ABV44" s="37"/>
      <c r="ABW44" s="37"/>
      <c r="ABX44" s="37"/>
      <c r="ABY44" s="37"/>
      <c r="ABZ44" s="37"/>
      <c r="ACA44" s="75"/>
      <c r="ACB44" s="65"/>
      <c r="ACC44" s="65"/>
      <c r="ACD44" s="65"/>
      <c r="ACE44" s="65"/>
      <c r="ACF44" s="37"/>
      <c r="ACG44" s="138"/>
      <c r="ACH44" s="37"/>
      <c r="ACI44" s="37"/>
      <c r="ACJ44" s="37"/>
      <c r="ACK44" s="37"/>
      <c r="ACL44" s="37"/>
      <c r="ACM44" s="75"/>
      <c r="ACN44" s="37"/>
      <c r="ACO44" s="37"/>
      <c r="ACP44" s="37"/>
      <c r="ACQ44" s="37"/>
      <c r="ACR44" s="37"/>
      <c r="ACS44" s="138"/>
      <c r="ACT44" s="37"/>
      <c r="ACU44" s="37"/>
      <c r="ACV44" s="37"/>
      <c r="ACW44" s="37"/>
      <c r="ACX44" s="37"/>
      <c r="ACY44" s="75"/>
      <c r="ACZ44" s="37"/>
      <c r="ADA44" s="37"/>
      <c r="ADB44" s="37"/>
      <c r="ADC44" s="37"/>
      <c r="ADD44" s="37"/>
      <c r="ADE44" s="38"/>
      <c r="ADF44" s="36"/>
      <c r="ADG44" s="65"/>
      <c r="ADH44" s="65"/>
      <c r="ADI44" s="65"/>
      <c r="ADJ44" s="37"/>
      <c r="ADK44" s="133"/>
      <c r="ADL44" s="37"/>
      <c r="ADM44" s="37"/>
      <c r="ADN44" s="37"/>
      <c r="ADO44" s="37"/>
      <c r="ADP44" s="37"/>
      <c r="ADQ44" s="138"/>
      <c r="ADR44" s="37"/>
      <c r="ADS44" s="37"/>
      <c r="ADT44" s="37"/>
      <c r="ADU44" s="37"/>
      <c r="ADV44" s="37"/>
      <c r="ADW44" s="75"/>
      <c r="ADX44" s="37"/>
      <c r="ADY44" s="37"/>
      <c r="ADZ44" s="37"/>
      <c r="AEA44" s="37"/>
      <c r="AEB44" s="37"/>
      <c r="AEC44" s="138"/>
      <c r="AED44" s="37"/>
      <c r="AEE44" s="37"/>
      <c r="AEF44" s="37"/>
      <c r="AEG44" s="37"/>
      <c r="AEH44" s="37"/>
      <c r="AEI44" s="75"/>
      <c r="AEJ44" s="65"/>
      <c r="AEK44" s="65"/>
      <c r="AEL44" s="65"/>
      <c r="AEM44" s="65"/>
      <c r="AEN44" s="37"/>
      <c r="AEO44" s="138"/>
      <c r="AEP44" s="37"/>
      <c r="AEQ44" s="37"/>
      <c r="AER44" s="37"/>
      <c r="AES44" s="37"/>
      <c r="AET44" s="37"/>
      <c r="AEU44" s="75"/>
      <c r="AEV44" s="37"/>
      <c r="AEW44" s="37"/>
      <c r="AEX44" s="37"/>
      <c r="AEY44" s="37"/>
      <c r="AEZ44" s="37"/>
      <c r="AFA44" s="138"/>
      <c r="AFB44" s="37"/>
      <c r="AFC44" s="37"/>
      <c r="AFD44" s="37"/>
      <c r="AFE44" s="37"/>
      <c r="AFF44" s="37"/>
      <c r="AFG44" s="75"/>
      <c r="AFH44" s="37"/>
      <c r="AFI44" s="37"/>
      <c r="AFJ44" s="37"/>
      <c r="AFK44" s="37"/>
      <c r="AFL44" s="37"/>
      <c r="AFM44" s="38"/>
      <c r="AFN44" s="90"/>
    </row>
    <row r="45" spans="1:846" ht="20.100000000000001" customHeight="1" x14ac:dyDescent="0.25">
      <c r="A45" s="100" t="s">
        <v>20</v>
      </c>
      <c r="B45" s="63" t="str">
        <f>IF(LEN(C75)=0,"",C75)</f>
        <v/>
      </c>
      <c r="C45" s="218"/>
      <c r="D45" s="146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40"/>
      <c r="RS45" s="66"/>
      <c r="RT45" s="66"/>
      <c r="RU45" s="66"/>
      <c r="RV45" s="41"/>
      <c r="RW45" s="134"/>
      <c r="RX45" s="41"/>
      <c r="RY45" s="41"/>
      <c r="RZ45" s="41"/>
      <c r="SA45" s="41"/>
      <c r="SB45" s="41"/>
      <c r="SC45" s="139"/>
      <c r="SD45" s="41"/>
      <c r="SE45" s="41"/>
      <c r="SF45" s="41"/>
      <c r="SG45" s="41"/>
      <c r="SH45" s="41"/>
      <c r="SI45" s="76"/>
      <c r="SJ45" s="41"/>
      <c r="SK45" s="41"/>
      <c r="SL45" s="41"/>
      <c r="SM45" s="41"/>
      <c r="SN45" s="41"/>
      <c r="SO45" s="139"/>
      <c r="SP45" s="41"/>
      <c r="SQ45" s="41"/>
      <c r="SR45" s="41"/>
      <c r="SS45" s="41"/>
      <c r="ST45" s="41"/>
      <c r="SU45" s="76"/>
      <c r="SV45" s="66"/>
      <c r="SW45" s="66"/>
      <c r="SX45" s="66"/>
      <c r="SY45" s="66"/>
      <c r="SZ45" s="41"/>
      <c r="TA45" s="139"/>
      <c r="TB45" s="41"/>
      <c r="TC45" s="41"/>
      <c r="TD45" s="41"/>
      <c r="TE45" s="41"/>
      <c r="TF45" s="41"/>
      <c r="TG45" s="76"/>
      <c r="TH45" s="41"/>
      <c r="TI45" s="41"/>
      <c r="TJ45" s="41"/>
      <c r="TK45" s="41"/>
      <c r="TL45" s="41"/>
      <c r="TM45" s="139"/>
      <c r="TN45" s="41"/>
      <c r="TO45" s="41"/>
      <c r="TP45" s="41"/>
      <c r="TQ45" s="41"/>
      <c r="TR45" s="41"/>
      <c r="TS45" s="76"/>
      <c r="TT45" s="41"/>
      <c r="TU45" s="41"/>
      <c r="TV45" s="41"/>
      <c r="TW45" s="41"/>
      <c r="TX45" s="41"/>
      <c r="TY45" s="42"/>
      <c r="TZ45" s="40"/>
      <c r="UA45" s="66"/>
      <c r="UB45" s="66"/>
      <c r="UC45" s="66"/>
      <c r="UD45" s="41"/>
      <c r="UE45" s="134"/>
      <c r="UF45" s="41"/>
      <c r="UG45" s="41"/>
      <c r="UH45" s="41"/>
      <c r="UI45" s="41"/>
      <c r="UJ45" s="41"/>
      <c r="UK45" s="139"/>
      <c r="UL45" s="41"/>
      <c r="UM45" s="41"/>
      <c r="UN45" s="41"/>
      <c r="UO45" s="41"/>
      <c r="UP45" s="41"/>
      <c r="UQ45" s="76"/>
      <c r="UR45" s="41"/>
      <c r="US45" s="41"/>
      <c r="UT45" s="41"/>
      <c r="UU45" s="41"/>
      <c r="UV45" s="41"/>
      <c r="UW45" s="139"/>
      <c r="UX45" s="41"/>
      <c r="UY45" s="41"/>
      <c r="UZ45" s="41"/>
      <c r="VA45" s="41"/>
      <c r="VB45" s="41"/>
      <c r="VC45" s="76"/>
      <c r="VD45" s="66"/>
      <c r="VE45" s="66"/>
      <c r="VF45" s="66"/>
      <c r="VG45" s="66"/>
      <c r="VH45" s="41"/>
      <c r="VI45" s="139"/>
      <c r="VJ45" s="41"/>
      <c r="VK45" s="41"/>
      <c r="VL45" s="41"/>
      <c r="VM45" s="41"/>
      <c r="VN45" s="41"/>
      <c r="VO45" s="76"/>
      <c r="VP45" s="41"/>
      <c r="VQ45" s="41"/>
      <c r="VR45" s="41"/>
      <c r="VS45" s="41"/>
      <c r="VT45" s="41"/>
      <c r="VU45" s="139"/>
      <c r="VV45" s="41"/>
      <c r="VW45" s="41"/>
      <c r="VX45" s="41"/>
      <c r="VY45" s="41"/>
      <c r="VZ45" s="41"/>
      <c r="WA45" s="76"/>
      <c r="WB45" s="41"/>
      <c r="WC45" s="41"/>
      <c r="WD45" s="41"/>
      <c r="WE45" s="41"/>
      <c r="WF45" s="41"/>
      <c r="WG45" s="42"/>
      <c r="WH45" s="40"/>
      <c r="WI45" s="66"/>
      <c r="WJ45" s="66"/>
      <c r="WK45" s="66"/>
      <c r="WL45" s="41"/>
      <c r="WM45" s="134"/>
      <c r="WN45" s="41"/>
      <c r="WO45" s="41"/>
      <c r="WP45" s="41"/>
      <c r="WQ45" s="41"/>
      <c r="WR45" s="41"/>
      <c r="WS45" s="139"/>
      <c r="WT45" s="41"/>
      <c r="WU45" s="41"/>
      <c r="WV45" s="41"/>
      <c r="WW45" s="41"/>
      <c r="WX45" s="41"/>
      <c r="WY45" s="76"/>
      <c r="WZ45" s="41"/>
      <c r="XA45" s="41"/>
      <c r="XB45" s="41"/>
      <c r="XC45" s="41"/>
      <c r="XD45" s="41"/>
      <c r="XE45" s="139"/>
      <c r="XF45" s="41"/>
      <c r="XG45" s="41"/>
      <c r="XH45" s="41"/>
      <c r="XI45" s="41"/>
      <c r="XJ45" s="41"/>
      <c r="XK45" s="76"/>
      <c r="XL45" s="66"/>
      <c r="XM45" s="66"/>
      <c r="XN45" s="66"/>
      <c r="XO45" s="66"/>
      <c r="XP45" s="41"/>
      <c r="XQ45" s="139"/>
      <c r="XR45" s="41"/>
      <c r="XS45" s="41"/>
      <c r="XT45" s="41"/>
      <c r="XU45" s="41"/>
      <c r="XV45" s="41"/>
      <c r="XW45" s="76"/>
      <c r="XX45" s="41"/>
      <c r="XY45" s="41"/>
      <c r="XZ45" s="41"/>
      <c r="YA45" s="41"/>
      <c r="YB45" s="41"/>
      <c r="YC45" s="139"/>
      <c r="YD45" s="41"/>
      <c r="YE45" s="41"/>
      <c r="YF45" s="41"/>
      <c r="YG45" s="41"/>
      <c r="YH45" s="41"/>
      <c r="YI45" s="76"/>
      <c r="YJ45" s="41"/>
      <c r="YK45" s="41"/>
      <c r="YL45" s="41"/>
      <c r="YM45" s="41"/>
      <c r="YN45" s="41"/>
      <c r="YO45" s="42"/>
      <c r="YP45" s="40"/>
      <c r="YQ45" s="66"/>
      <c r="YR45" s="66"/>
      <c r="YS45" s="66"/>
      <c r="YT45" s="41"/>
      <c r="YU45" s="134"/>
      <c r="YV45" s="41"/>
      <c r="YW45" s="41"/>
      <c r="YX45" s="41"/>
      <c r="YY45" s="41"/>
      <c r="YZ45" s="41"/>
      <c r="ZA45" s="139"/>
      <c r="ZB45" s="41"/>
      <c r="ZC45" s="41"/>
      <c r="ZD45" s="41"/>
      <c r="ZE45" s="41"/>
      <c r="ZF45" s="41"/>
      <c r="ZG45" s="76"/>
      <c r="ZH45" s="41"/>
      <c r="ZI45" s="41"/>
      <c r="ZJ45" s="41"/>
      <c r="ZK45" s="41"/>
      <c r="ZL45" s="41"/>
      <c r="ZM45" s="139"/>
      <c r="ZN45" s="41"/>
      <c r="ZO45" s="41"/>
      <c r="ZP45" s="41"/>
      <c r="ZQ45" s="41"/>
      <c r="ZR45" s="41"/>
      <c r="ZS45" s="76"/>
      <c r="ZT45" s="66"/>
      <c r="ZU45" s="66"/>
      <c r="ZV45" s="66"/>
      <c r="ZW45" s="66"/>
      <c r="ZX45" s="41"/>
      <c r="ZY45" s="139"/>
      <c r="ZZ45" s="41"/>
      <c r="AAA45" s="41"/>
      <c r="AAB45" s="41"/>
      <c r="AAC45" s="41"/>
      <c r="AAD45" s="41"/>
      <c r="AAE45" s="76"/>
      <c r="AAF45" s="41"/>
      <c r="AAG45" s="41"/>
      <c r="AAH45" s="41"/>
      <c r="AAI45" s="41"/>
      <c r="AAJ45" s="41"/>
      <c r="AAK45" s="139"/>
      <c r="AAL45" s="41"/>
      <c r="AAM45" s="41"/>
      <c r="AAN45" s="41"/>
      <c r="AAO45" s="41"/>
      <c r="AAP45" s="41"/>
      <c r="AAQ45" s="76"/>
      <c r="AAR45" s="41"/>
      <c r="AAS45" s="41"/>
      <c r="AAT45" s="41"/>
      <c r="AAU45" s="41"/>
      <c r="AAV45" s="41"/>
      <c r="AAW45" s="42"/>
      <c r="AAX45" s="40"/>
      <c r="AAY45" s="66"/>
      <c r="AAZ45" s="66"/>
      <c r="ABA45" s="66"/>
      <c r="ABB45" s="41"/>
      <c r="ABC45" s="134"/>
      <c r="ABD45" s="41"/>
      <c r="ABE45" s="41"/>
      <c r="ABF45" s="41"/>
      <c r="ABG45" s="41"/>
      <c r="ABH45" s="41"/>
      <c r="ABI45" s="139"/>
      <c r="ABJ45" s="41"/>
      <c r="ABK45" s="41"/>
      <c r="ABL45" s="41"/>
      <c r="ABM45" s="41"/>
      <c r="ABN45" s="41"/>
      <c r="ABO45" s="76"/>
      <c r="ABP45" s="41"/>
      <c r="ABQ45" s="41"/>
      <c r="ABR45" s="41"/>
      <c r="ABS45" s="41"/>
      <c r="ABT45" s="41"/>
      <c r="ABU45" s="139"/>
      <c r="ABV45" s="41"/>
      <c r="ABW45" s="41"/>
      <c r="ABX45" s="41"/>
      <c r="ABY45" s="41"/>
      <c r="ABZ45" s="41"/>
      <c r="ACA45" s="76"/>
      <c r="ACB45" s="66"/>
      <c r="ACC45" s="66"/>
      <c r="ACD45" s="66"/>
      <c r="ACE45" s="66"/>
      <c r="ACF45" s="41"/>
      <c r="ACG45" s="139"/>
      <c r="ACH45" s="41"/>
      <c r="ACI45" s="41"/>
      <c r="ACJ45" s="41"/>
      <c r="ACK45" s="41"/>
      <c r="ACL45" s="41"/>
      <c r="ACM45" s="76"/>
      <c r="ACN45" s="41"/>
      <c r="ACO45" s="41"/>
      <c r="ACP45" s="41"/>
      <c r="ACQ45" s="41"/>
      <c r="ACR45" s="41"/>
      <c r="ACS45" s="139"/>
      <c r="ACT45" s="41"/>
      <c r="ACU45" s="41"/>
      <c r="ACV45" s="41"/>
      <c r="ACW45" s="41"/>
      <c r="ACX45" s="41"/>
      <c r="ACY45" s="76"/>
      <c r="ACZ45" s="41"/>
      <c r="ADA45" s="41"/>
      <c r="ADB45" s="41"/>
      <c r="ADC45" s="41"/>
      <c r="ADD45" s="41"/>
      <c r="ADE45" s="42"/>
      <c r="ADF45" s="40"/>
      <c r="ADG45" s="66"/>
      <c r="ADH45" s="66"/>
      <c r="ADI45" s="66"/>
      <c r="ADJ45" s="41"/>
      <c r="ADK45" s="134"/>
      <c r="ADL45" s="41"/>
      <c r="ADM45" s="41"/>
      <c r="ADN45" s="41"/>
      <c r="ADO45" s="41"/>
      <c r="ADP45" s="41"/>
      <c r="ADQ45" s="139"/>
      <c r="ADR45" s="41"/>
      <c r="ADS45" s="41"/>
      <c r="ADT45" s="41"/>
      <c r="ADU45" s="41"/>
      <c r="ADV45" s="41"/>
      <c r="ADW45" s="76"/>
      <c r="ADX45" s="41"/>
      <c r="ADY45" s="41"/>
      <c r="ADZ45" s="41"/>
      <c r="AEA45" s="41"/>
      <c r="AEB45" s="41"/>
      <c r="AEC45" s="139"/>
      <c r="AED45" s="41"/>
      <c r="AEE45" s="41"/>
      <c r="AEF45" s="41"/>
      <c r="AEG45" s="41"/>
      <c r="AEH45" s="41"/>
      <c r="AEI45" s="76"/>
      <c r="AEJ45" s="66"/>
      <c r="AEK45" s="66"/>
      <c r="AEL45" s="66"/>
      <c r="AEM45" s="66"/>
      <c r="AEN45" s="41"/>
      <c r="AEO45" s="139"/>
      <c r="AEP45" s="41"/>
      <c r="AEQ45" s="41"/>
      <c r="AER45" s="41"/>
      <c r="AES45" s="41"/>
      <c r="AET45" s="41"/>
      <c r="AEU45" s="76"/>
      <c r="AEV45" s="41"/>
      <c r="AEW45" s="41"/>
      <c r="AEX45" s="41"/>
      <c r="AEY45" s="41"/>
      <c r="AEZ45" s="41"/>
      <c r="AFA45" s="139"/>
      <c r="AFB45" s="41"/>
      <c r="AFC45" s="41"/>
      <c r="AFD45" s="41"/>
      <c r="AFE45" s="41"/>
      <c r="AFF45" s="41"/>
      <c r="AFG45" s="76"/>
      <c r="AFH45" s="41"/>
      <c r="AFI45" s="41"/>
      <c r="AFJ45" s="41"/>
      <c r="AFK45" s="41"/>
      <c r="AFL45" s="41"/>
      <c r="AFM45" s="42"/>
      <c r="AFN45" s="90"/>
    </row>
    <row r="46" spans="1:846" ht="20.100000000000001" customHeight="1" x14ac:dyDescent="0.25">
      <c r="A46" s="100" t="s">
        <v>21</v>
      </c>
      <c r="B46" s="63" t="str">
        <f>IF(LEN(C77)=0,"",C77)</f>
        <v/>
      </c>
      <c r="C46" s="220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36"/>
      <c r="RS46" s="65"/>
      <c r="RT46" s="65"/>
      <c r="RU46" s="65"/>
      <c r="RV46" s="37"/>
      <c r="RW46" s="133"/>
      <c r="RX46" s="37"/>
      <c r="RY46" s="37"/>
      <c r="RZ46" s="37"/>
      <c r="SA46" s="37"/>
      <c r="SB46" s="37"/>
      <c r="SC46" s="138"/>
      <c r="SD46" s="37"/>
      <c r="SE46" s="37"/>
      <c r="SF46" s="37"/>
      <c r="SG46" s="37"/>
      <c r="SH46" s="37"/>
      <c r="SI46" s="75"/>
      <c r="SJ46" s="37"/>
      <c r="SK46" s="37"/>
      <c r="SL46" s="37"/>
      <c r="SM46" s="37"/>
      <c r="SN46" s="37"/>
      <c r="SO46" s="138"/>
      <c r="SP46" s="37"/>
      <c r="SQ46" s="37"/>
      <c r="SR46" s="37"/>
      <c r="SS46" s="37"/>
      <c r="ST46" s="37"/>
      <c r="SU46" s="75"/>
      <c r="SV46" s="65"/>
      <c r="SW46" s="65"/>
      <c r="SX46" s="65"/>
      <c r="SY46" s="65"/>
      <c r="SZ46" s="37"/>
      <c r="TA46" s="138"/>
      <c r="TB46" s="37"/>
      <c r="TC46" s="37"/>
      <c r="TD46" s="37"/>
      <c r="TE46" s="37"/>
      <c r="TF46" s="37"/>
      <c r="TG46" s="75"/>
      <c r="TH46" s="37"/>
      <c r="TI46" s="37"/>
      <c r="TJ46" s="37"/>
      <c r="TK46" s="37"/>
      <c r="TL46" s="37"/>
      <c r="TM46" s="138"/>
      <c r="TN46" s="37"/>
      <c r="TO46" s="37"/>
      <c r="TP46" s="37"/>
      <c r="TQ46" s="37"/>
      <c r="TR46" s="37"/>
      <c r="TS46" s="75"/>
      <c r="TT46" s="37"/>
      <c r="TU46" s="37"/>
      <c r="TV46" s="37"/>
      <c r="TW46" s="37"/>
      <c r="TX46" s="37"/>
      <c r="TY46" s="38"/>
      <c r="TZ46" s="36"/>
      <c r="UA46" s="65"/>
      <c r="UB46" s="65"/>
      <c r="UC46" s="65"/>
      <c r="UD46" s="37"/>
      <c r="UE46" s="133"/>
      <c r="UF46" s="37"/>
      <c r="UG46" s="37"/>
      <c r="UH46" s="37"/>
      <c r="UI46" s="37"/>
      <c r="UJ46" s="37"/>
      <c r="UK46" s="138"/>
      <c r="UL46" s="37"/>
      <c r="UM46" s="37"/>
      <c r="UN46" s="37"/>
      <c r="UO46" s="37"/>
      <c r="UP46" s="37"/>
      <c r="UQ46" s="75"/>
      <c r="UR46" s="37"/>
      <c r="US46" s="37"/>
      <c r="UT46" s="37"/>
      <c r="UU46" s="37"/>
      <c r="UV46" s="37"/>
      <c r="UW46" s="138"/>
      <c r="UX46" s="37"/>
      <c r="UY46" s="37"/>
      <c r="UZ46" s="37"/>
      <c r="VA46" s="37"/>
      <c r="VB46" s="37"/>
      <c r="VC46" s="75"/>
      <c r="VD46" s="65"/>
      <c r="VE46" s="65"/>
      <c r="VF46" s="65"/>
      <c r="VG46" s="65"/>
      <c r="VH46" s="37"/>
      <c r="VI46" s="138"/>
      <c r="VJ46" s="37"/>
      <c r="VK46" s="37"/>
      <c r="VL46" s="37"/>
      <c r="VM46" s="37"/>
      <c r="VN46" s="37"/>
      <c r="VO46" s="75"/>
      <c r="VP46" s="37"/>
      <c r="VQ46" s="37"/>
      <c r="VR46" s="37"/>
      <c r="VS46" s="37"/>
      <c r="VT46" s="37"/>
      <c r="VU46" s="138"/>
      <c r="VV46" s="37"/>
      <c r="VW46" s="37"/>
      <c r="VX46" s="37"/>
      <c r="VY46" s="37"/>
      <c r="VZ46" s="37"/>
      <c r="WA46" s="75"/>
      <c r="WB46" s="37"/>
      <c r="WC46" s="37"/>
      <c r="WD46" s="37"/>
      <c r="WE46" s="37"/>
      <c r="WF46" s="37"/>
      <c r="WG46" s="38"/>
      <c r="WH46" s="36"/>
      <c r="WI46" s="65"/>
      <c r="WJ46" s="65"/>
      <c r="WK46" s="65"/>
      <c r="WL46" s="37"/>
      <c r="WM46" s="133"/>
      <c r="WN46" s="37"/>
      <c r="WO46" s="37"/>
      <c r="WP46" s="37"/>
      <c r="WQ46" s="37"/>
      <c r="WR46" s="37"/>
      <c r="WS46" s="138"/>
      <c r="WT46" s="37"/>
      <c r="WU46" s="37"/>
      <c r="WV46" s="37"/>
      <c r="WW46" s="37"/>
      <c r="WX46" s="37"/>
      <c r="WY46" s="75"/>
      <c r="WZ46" s="37"/>
      <c r="XA46" s="37"/>
      <c r="XB46" s="37"/>
      <c r="XC46" s="37"/>
      <c r="XD46" s="37"/>
      <c r="XE46" s="138"/>
      <c r="XF46" s="37"/>
      <c r="XG46" s="37"/>
      <c r="XH46" s="37"/>
      <c r="XI46" s="37"/>
      <c r="XJ46" s="37"/>
      <c r="XK46" s="75"/>
      <c r="XL46" s="65"/>
      <c r="XM46" s="65"/>
      <c r="XN46" s="65"/>
      <c r="XO46" s="65"/>
      <c r="XP46" s="37"/>
      <c r="XQ46" s="138"/>
      <c r="XR46" s="37"/>
      <c r="XS46" s="37"/>
      <c r="XT46" s="37"/>
      <c r="XU46" s="37"/>
      <c r="XV46" s="37"/>
      <c r="XW46" s="75"/>
      <c r="XX46" s="37"/>
      <c r="XY46" s="37"/>
      <c r="XZ46" s="37"/>
      <c r="YA46" s="37"/>
      <c r="YB46" s="37"/>
      <c r="YC46" s="138"/>
      <c r="YD46" s="37"/>
      <c r="YE46" s="37"/>
      <c r="YF46" s="37"/>
      <c r="YG46" s="37"/>
      <c r="YH46" s="37"/>
      <c r="YI46" s="75"/>
      <c r="YJ46" s="37"/>
      <c r="YK46" s="37"/>
      <c r="YL46" s="37"/>
      <c r="YM46" s="37"/>
      <c r="YN46" s="37"/>
      <c r="YO46" s="38"/>
      <c r="YP46" s="36"/>
      <c r="YQ46" s="65"/>
      <c r="YR46" s="65"/>
      <c r="YS46" s="65"/>
      <c r="YT46" s="37"/>
      <c r="YU46" s="133"/>
      <c r="YV46" s="37"/>
      <c r="YW46" s="37"/>
      <c r="YX46" s="37"/>
      <c r="YY46" s="37"/>
      <c r="YZ46" s="37"/>
      <c r="ZA46" s="138"/>
      <c r="ZB46" s="37"/>
      <c r="ZC46" s="37"/>
      <c r="ZD46" s="37"/>
      <c r="ZE46" s="37"/>
      <c r="ZF46" s="37"/>
      <c r="ZG46" s="75"/>
      <c r="ZH46" s="37"/>
      <c r="ZI46" s="37"/>
      <c r="ZJ46" s="37"/>
      <c r="ZK46" s="37"/>
      <c r="ZL46" s="37"/>
      <c r="ZM46" s="138"/>
      <c r="ZN46" s="37"/>
      <c r="ZO46" s="37"/>
      <c r="ZP46" s="37"/>
      <c r="ZQ46" s="37"/>
      <c r="ZR46" s="37"/>
      <c r="ZS46" s="75"/>
      <c r="ZT46" s="65"/>
      <c r="ZU46" s="65"/>
      <c r="ZV46" s="65"/>
      <c r="ZW46" s="65"/>
      <c r="ZX46" s="37"/>
      <c r="ZY46" s="138"/>
      <c r="ZZ46" s="37"/>
      <c r="AAA46" s="37"/>
      <c r="AAB46" s="37"/>
      <c r="AAC46" s="37"/>
      <c r="AAD46" s="37"/>
      <c r="AAE46" s="75"/>
      <c r="AAF46" s="37"/>
      <c r="AAG46" s="37"/>
      <c r="AAH46" s="37"/>
      <c r="AAI46" s="37"/>
      <c r="AAJ46" s="37"/>
      <c r="AAK46" s="138"/>
      <c r="AAL46" s="37"/>
      <c r="AAM46" s="37"/>
      <c r="AAN46" s="37"/>
      <c r="AAO46" s="37"/>
      <c r="AAP46" s="37"/>
      <c r="AAQ46" s="75"/>
      <c r="AAR46" s="37"/>
      <c r="AAS46" s="37"/>
      <c r="AAT46" s="37"/>
      <c r="AAU46" s="37"/>
      <c r="AAV46" s="37"/>
      <c r="AAW46" s="38"/>
      <c r="AAX46" s="36"/>
      <c r="AAY46" s="65"/>
      <c r="AAZ46" s="65"/>
      <c r="ABA46" s="65"/>
      <c r="ABB46" s="37"/>
      <c r="ABC46" s="133"/>
      <c r="ABD46" s="37"/>
      <c r="ABE46" s="37"/>
      <c r="ABF46" s="37"/>
      <c r="ABG46" s="37"/>
      <c r="ABH46" s="37"/>
      <c r="ABI46" s="138"/>
      <c r="ABJ46" s="37"/>
      <c r="ABK46" s="37"/>
      <c r="ABL46" s="37"/>
      <c r="ABM46" s="37"/>
      <c r="ABN46" s="37"/>
      <c r="ABO46" s="75"/>
      <c r="ABP46" s="37"/>
      <c r="ABQ46" s="37"/>
      <c r="ABR46" s="37"/>
      <c r="ABS46" s="37"/>
      <c r="ABT46" s="37"/>
      <c r="ABU46" s="138"/>
      <c r="ABV46" s="37"/>
      <c r="ABW46" s="37"/>
      <c r="ABX46" s="37"/>
      <c r="ABY46" s="37"/>
      <c r="ABZ46" s="37"/>
      <c r="ACA46" s="75"/>
      <c r="ACB46" s="65"/>
      <c r="ACC46" s="65"/>
      <c r="ACD46" s="65"/>
      <c r="ACE46" s="65"/>
      <c r="ACF46" s="37"/>
      <c r="ACG46" s="138"/>
      <c r="ACH46" s="37"/>
      <c r="ACI46" s="37"/>
      <c r="ACJ46" s="37"/>
      <c r="ACK46" s="37"/>
      <c r="ACL46" s="37"/>
      <c r="ACM46" s="75"/>
      <c r="ACN46" s="37"/>
      <c r="ACO46" s="37"/>
      <c r="ACP46" s="37"/>
      <c r="ACQ46" s="37"/>
      <c r="ACR46" s="37"/>
      <c r="ACS46" s="138"/>
      <c r="ACT46" s="37"/>
      <c r="ACU46" s="37"/>
      <c r="ACV46" s="37"/>
      <c r="ACW46" s="37"/>
      <c r="ACX46" s="37"/>
      <c r="ACY46" s="75"/>
      <c r="ACZ46" s="37"/>
      <c r="ADA46" s="37"/>
      <c r="ADB46" s="37"/>
      <c r="ADC46" s="37"/>
      <c r="ADD46" s="37"/>
      <c r="ADE46" s="38"/>
      <c r="ADF46" s="36"/>
      <c r="ADG46" s="65"/>
      <c r="ADH46" s="65"/>
      <c r="ADI46" s="65"/>
      <c r="ADJ46" s="37"/>
      <c r="ADK46" s="133"/>
      <c r="ADL46" s="37"/>
      <c r="ADM46" s="37"/>
      <c r="ADN46" s="37"/>
      <c r="ADO46" s="37"/>
      <c r="ADP46" s="37"/>
      <c r="ADQ46" s="138"/>
      <c r="ADR46" s="37"/>
      <c r="ADS46" s="37"/>
      <c r="ADT46" s="37"/>
      <c r="ADU46" s="37"/>
      <c r="ADV46" s="37"/>
      <c r="ADW46" s="75"/>
      <c r="ADX46" s="37"/>
      <c r="ADY46" s="37"/>
      <c r="ADZ46" s="37"/>
      <c r="AEA46" s="37"/>
      <c r="AEB46" s="37"/>
      <c r="AEC46" s="138"/>
      <c r="AED46" s="37"/>
      <c r="AEE46" s="37"/>
      <c r="AEF46" s="37"/>
      <c r="AEG46" s="37"/>
      <c r="AEH46" s="37"/>
      <c r="AEI46" s="75"/>
      <c r="AEJ46" s="65"/>
      <c r="AEK46" s="65"/>
      <c r="AEL46" s="65"/>
      <c r="AEM46" s="65"/>
      <c r="AEN46" s="37"/>
      <c r="AEO46" s="138"/>
      <c r="AEP46" s="37"/>
      <c r="AEQ46" s="37"/>
      <c r="AER46" s="37"/>
      <c r="AES46" s="37"/>
      <c r="AET46" s="37"/>
      <c r="AEU46" s="75"/>
      <c r="AEV46" s="37"/>
      <c r="AEW46" s="37"/>
      <c r="AEX46" s="37"/>
      <c r="AEY46" s="37"/>
      <c r="AEZ46" s="37"/>
      <c r="AFA46" s="138"/>
      <c r="AFB46" s="37"/>
      <c r="AFC46" s="37"/>
      <c r="AFD46" s="37"/>
      <c r="AFE46" s="37"/>
      <c r="AFF46" s="37"/>
      <c r="AFG46" s="75"/>
      <c r="AFH46" s="37"/>
      <c r="AFI46" s="37"/>
      <c r="AFJ46" s="37"/>
      <c r="AFK46" s="37"/>
      <c r="AFL46" s="37"/>
      <c r="AFM46" s="38"/>
      <c r="AFN46" s="90"/>
    </row>
    <row r="47" spans="1:846" ht="20.100000000000001" customHeight="1" x14ac:dyDescent="0.25">
      <c r="A47" s="100" t="s">
        <v>20</v>
      </c>
      <c r="B47" s="63" t="str">
        <f>IF(LEN(C79)=0,"",C79)</f>
        <v/>
      </c>
      <c r="C47" s="218"/>
      <c r="D47" s="146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40"/>
      <c r="RS47" s="66"/>
      <c r="RT47" s="66"/>
      <c r="RU47" s="66"/>
      <c r="RV47" s="41"/>
      <c r="RW47" s="134"/>
      <c r="RX47" s="41"/>
      <c r="RY47" s="41"/>
      <c r="RZ47" s="41"/>
      <c r="SA47" s="41"/>
      <c r="SB47" s="41"/>
      <c r="SC47" s="139"/>
      <c r="SD47" s="41"/>
      <c r="SE47" s="41"/>
      <c r="SF47" s="41"/>
      <c r="SG47" s="41"/>
      <c r="SH47" s="41"/>
      <c r="SI47" s="76"/>
      <c r="SJ47" s="41"/>
      <c r="SK47" s="41"/>
      <c r="SL47" s="41"/>
      <c r="SM47" s="41"/>
      <c r="SN47" s="41"/>
      <c r="SO47" s="139"/>
      <c r="SP47" s="41"/>
      <c r="SQ47" s="41"/>
      <c r="SR47" s="41"/>
      <c r="SS47" s="41"/>
      <c r="ST47" s="41"/>
      <c r="SU47" s="76"/>
      <c r="SV47" s="66"/>
      <c r="SW47" s="66"/>
      <c r="SX47" s="66"/>
      <c r="SY47" s="66"/>
      <c r="SZ47" s="41"/>
      <c r="TA47" s="139"/>
      <c r="TB47" s="41"/>
      <c r="TC47" s="41"/>
      <c r="TD47" s="41"/>
      <c r="TE47" s="41"/>
      <c r="TF47" s="41"/>
      <c r="TG47" s="76"/>
      <c r="TH47" s="41"/>
      <c r="TI47" s="41"/>
      <c r="TJ47" s="41"/>
      <c r="TK47" s="41"/>
      <c r="TL47" s="41"/>
      <c r="TM47" s="139"/>
      <c r="TN47" s="41"/>
      <c r="TO47" s="41"/>
      <c r="TP47" s="41"/>
      <c r="TQ47" s="41"/>
      <c r="TR47" s="41"/>
      <c r="TS47" s="76"/>
      <c r="TT47" s="41"/>
      <c r="TU47" s="41"/>
      <c r="TV47" s="41"/>
      <c r="TW47" s="41"/>
      <c r="TX47" s="41"/>
      <c r="TY47" s="42"/>
      <c r="TZ47" s="40"/>
      <c r="UA47" s="66"/>
      <c r="UB47" s="66"/>
      <c r="UC47" s="66"/>
      <c r="UD47" s="41"/>
      <c r="UE47" s="134"/>
      <c r="UF47" s="41"/>
      <c r="UG47" s="41"/>
      <c r="UH47" s="41"/>
      <c r="UI47" s="41"/>
      <c r="UJ47" s="41"/>
      <c r="UK47" s="139"/>
      <c r="UL47" s="41"/>
      <c r="UM47" s="41"/>
      <c r="UN47" s="41"/>
      <c r="UO47" s="41"/>
      <c r="UP47" s="41"/>
      <c r="UQ47" s="76"/>
      <c r="UR47" s="41"/>
      <c r="US47" s="41"/>
      <c r="UT47" s="41"/>
      <c r="UU47" s="41"/>
      <c r="UV47" s="41"/>
      <c r="UW47" s="139"/>
      <c r="UX47" s="41"/>
      <c r="UY47" s="41"/>
      <c r="UZ47" s="41"/>
      <c r="VA47" s="41"/>
      <c r="VB47" s="41"/>
      <c r="VC47" s="76"/>
      <c r="VD47" s="66"/>
      <c r="VE47" s="66"/>
      <c r="VF47" s="66"/>
      <c r="VG47" s="66"/>
      <c r="VH47" s="41"/>
      <c r="VI47" s="139"/>
      <c r="VJ47" s="41"/>
      <c r="VK47" s="41"/>
      <c r="VL47" s="41"/>
      <c r="VM47" s="41"/>
      <c r="VN47" s="41"/>
      <c r="VO47" s="76"/>
      <c r="VP47" s="41"/>
      <c r="VQ47" s="41"/>
      <c r="VR47" s="41"/>
      <c r="VS47" s="41"/>
      <c r="VT47" s="41"/>
      <c r="VU47" s="139"/>
      <c r="VV47" s="41"/>
      <c r="VW47" s="41"/>
      <c r="VX47" s="41"/>
      <c r="VY47" s="41"/>
      <c r="VZ47" s="41"/>
      <c r="WA47" s="76"/>
      <c r="WB47" s="41"/>
      <c r="WC47" s="41"/>
      <c r="WD47" s="41"/>
      <c r="WE47" s="41"/>
      <c r="WF47" s="41"/>
      <c r="WG47" s="42"/>
      <c r="WH47" s="40"/>
      <c r="WI47" s="66"/>
      <c r="WJ47" s="66"/>
      <c r="WK47" s="66"/>
      <c r="WL47" s="41"/>
      <c r="WM47" s="134"/>
      <c r="WN47" s="41"/>
      <c r="WO47" s="41"/>
      <c r="WP47" s="41"/>
      <c r="WQ47" s="41"/>
      <c r="WR47" s="41"/>
      <c r="WS47" s="139"/>
      <c r="WT47" s="41"/>
      <c r="WU47" s="41"/>
      <c r="WV47" s="41"/>
      <c r="WW47" s="41"/>
      <c r="WX47" s="41"/>
      <c r="WY47" s="76"/>
      <c r="WZ47" s="41"/>
      <c r="XA47" s="41"/>
      <c r="XB47" s="41"/>
      <c r="XC47" s="41"/>
      <c r="XD47" s="41"/>
      <c r="XE47" s="139"/>
      <c r="XF47" s="41"/>
      <c r="XG47" s="41"/>
      <c r="XH47" s="41"/>
      <c r="XI47" s="41"/>
      <c r="XJ47" s="41"/>
      <c r="XK47" s="76"/>
      <c r="XL47" s="66"/>
      <c r="XM47" s="66"/>
      <c r="XN47" s="66"/>
      <c r="XO47" s="66"/>
      <c r="XP47" s="41"/>
      <c r="XQ47" s="139"/>
      <c r="XR47" s="41"/>
      <c r="XS47" s="41"/>
      <c r="XT47" s="41"/>
      <c r="XU47" s="41"/>
      <c r="XV47" s="41"/>
      <c r="XW47" s="76"/>
      <c r="XX47" s="41"/>
      <c r="XY47" s="41"/>
      <c r="XZ47" s="41"/>
      <c r="YA47" s="41"/>
      <c r="YB47" s="41"/>
      <c r="YC47" s="139"/>
      <c r="YD47" s="41"/>
      <c r="YE47" s="41"/>
      <c r="YF47" s="41"/>
      <c r="YG47" s="41"/>
      <c r="YH47" s="41"/>
      <c r="YI47" s="76"/>
      <c r="YJ47" s="41"/>
      <c r="YK47" s="41"/>
      <c r="YL47" s="41"/>
      <c r="YM47" s="41"/>
      <c r="YN47" s="41"/>
      <c r="YO47" s="42"/>
      <c r="YP47" s="40"/>
      <c r="YQ47" s="66"/>
      <c r="YR47" s="66"/>
      <c r="YS47" s="66"/>
      <c r="YT47" s="41"/>
      <c r="YU47" s="134"/>
      <c r="YV47" s="41"/>
      <c r="YW47" s="41"/>
      <c r="YX47" s="41"/>
      <c r="YY47" s="41"/>
      <c r="YZ47" s="41"/>
      <c r="ZA47" s="139"/>
      <c r="ZB47" s="41"/>
      <c r="ZC47" s="41"/>
      <c r="ZD47" s="41"/>
      <c r="ZE47" s="41"/>
      <c r="ZF47" s="41"/>
      <c r="ZG47" s="76"/>
      <c r="ZH47" s="41"/>
      <c r="ZI47" s="41"/>
      <c r="ZJ47" s="41"/>
      <c r="ZK47" s="41"/>
      <c r="ZL47" s="41"/>
      <c r="ZM47" s="139"/>
      <c r="ZN47" s="41"/>
      <c r="ZO47" s="41"/>
      <c r="ZP47" s="41"/>
      <c r="ZQ47" s="41"/>
      <c r="ZR47" s="41"/>
      <c r="ZS47" s="76"/>
      <c r="ZT47" s="66"/>
      <c r="ZU47" s="66"/>
      <c r="ZV47" s="66"/>
      <c r="ZW47" s="66"/>
      <c r="ZX47" s="41"/>
      <c r="ZY47" s="139"/>
      <c r="ZZ47" s="41"/>
      <c r="AAA47" s="41"/>
      <c r="AAB47" s="41"/>
      <c r="AAC47" s="41"/>
      <c r="AAD47" s="41"/>
      <c r="AAE47" s="76"/>
      <c r="AAF47" s="41"/>
      <c r="AAG47" s="41"/>
      <c r="AAH47" s="41"/>
      <c r="AAI47" s="41"/>
      <c r="AAJ47" s="41"/>
      <c r="AAK47" s="139"/>
      <c r="AAL47" s="41"/>
      <c r="AAM47" s="41"/>
      <c r="AAN47" s="41"/>
      <c r="AAO47" s="41"/>
      <c r="AAP47" s="41"/>
      <c r="AAQ47" s="76"/>
      <c r="AAR47" s="41"/>
      <c r="AAS47" s="41"/>
      <c r="AAT47" s="41"/>
      <c r="AAU47" s="41"/>
      <c r="AAV47" s="41"/>
      <c r="AAW47" s="42"/>
      <c r="AAX47" s="40"/>
      <c r="AAY47" s="66"/>
      <c r="AAZ47" s="66"/>
      <c r="ABA47" s="66"/>
      <c r="ABB47" s="41"/>
      <c r="ABC47" s="134"/>
      <c r="ABD47" s="41"/>
      <c r="ABE47" s="41"/>
      <c r="ABF47" s="41"/>
      <c r="ABG47" s="41"/>
      <c r="ABH47" s="41"/>
      <c r="ABI47" s="139"/>
      <c r="ABJ47" s="41"/>
      <c r="ABK47" s="41"/>
      <c r="ABL47" s="41"/>
      <c r="ABM47" s="41"/>
      <c r="ABN47" s="41"/>
      <c r="ABO47" s="76"/>
      <c r="ABP47" s="41"/>
      <c r="ABQ47" s="41"/>
      <c r="ABR47" s="41"/>
      <c r="ABS47" s="41"/>
      <c r="ABT47" s="41"/>
      <c r="ABU47" s="139"/>
      <c r="ABV47" s="41"/>
      <c r="ABW47" s="41"/>
      <c r="ABX47" s="41"/>
      <c r="ABY47" s="41"/>
      <c r="ABZ47" s="41"/>
      <c r="ACA47" s="76"/>
      <c r="ACB47" s="66"/>
      <c r="ACC47" s="66"/>
      <c r="ACD47" s="66"/>
      <c r="ACE47" s="66"/>
      <c r="ACF47" s="41"/>
      <c r="ACG47" s="139"/>
      <c r="ACH47" s="41"/>
      <c r="ACI47" s="41"/>
      <c r="ACJ47" s="41"/>
      <c r="ACK47" s="41"/>
      <c r="ACL47" s="41"/>
      <c r="ACM47" s="76"/>
      <c r="ACN47" s="41"/>
      <c r="ACO47" s="41"/>
      <c r="ACP47" s="41"/>
      <c r="ACQ47" s="41"/>
      <c r="ACR47" s="41"/>
      <c r="ACS47" s="139"/>
      <c r="ACT47" s="41"/>
      <c r="ACU47" s="41"/>
      <c r="ACV47" s="41"/>
      <c r="ACW47" s="41"/>
      <c r="ACX47" s="41"/>
      <c r="ACY47" s="76"/>
      <c r="ACZ47" s="41"/>
      <c r="ADA47" s="41"/>
      <c r="ADB47" s="41"/>
      <c r="ADC47" s="41"/>
      <c r="ADD47" s="41"/>
      <c r="ADE47" s="42"/>
      <c r="ADF47" s="40"/>
      <c r="ADG47" s="66"/>
      <c r="ADH47" s="66"/>
      <c r="ADI47" s="66"/>
      <c r="ADJ47" s="41"/>
      <c r="ADK47" s="134"/>
      <c r="ADL47" s="41"/>
      <c r="ADM47" s="41"/>
      <c r="ADN47" s="41"/>
      <c r="ADO47" s="41"/>
      <c r="ADP47" s="41"/>
      <c r="ADQ47" s="139"/>
      <c r="ADR47" s="41"/>
      <c r="ADS47" s="41"/>
      <c r="ADT47" s="41"/>
      <c r="ADU47" s="41"/>
      <c r="ADV47" s="41"/>
      <c r="ADW47" s="76"/>
      <c r="ADX47" s="41"/>
      <c r="ADY47" s="41"/>
      <c r="ADZ47" s="41"/>
      <c r="AEA47" s="41"/>
      <c r="AEB47" s="41"/>
      <c r="AEC47" s="139"/>
      <c r="AED47" s="41"/>
      <c r="AEE47" s="41"/>
      <c r="AEF47" s="41"/>
      <c r="AEG47" s="41"/>
      <c r="AEH47" s="41"/>
      <c r="AEI47" s="76"/>
      <c r="AEJ47" s="66"/>
      <c r="AEK47" s="66"/>
      <c r="AEL47" s="66"/>
      <c r="AEM47" s="66"/>
      <c r="AEN47" s="41"/>
      <c r="AEO47" s="139"/>
      <c r="AEP47" s="41"/>
      <c r="AEQ47" s="41"/>
      <c r="AER47" s="41"/>
      <c r="AES47" s="41"/>
      <c r="AET47" s="41"/>
      <c r="AEU47" s="76"/>
      <c r="AEV47" s="41"/>
      <c r="AEW47" s="41"/>
      <c r="AEX47" s="41"/>
      <c r="AEY47" s="41"/>
      <c r="AEZ47" s="41"/>
      <c r="AFA47" s="139"/>
      <c r="AFB47" s="41"/>
      <c r="AFC47" s="41"/>
      <c r="AFD47" s="41"/>
      <c r="AFE47" s="41"/>
      <c r="AFF47" s="41"/>
      <c r="AFG47" s="76"/>
      <c r="AFH47" s="41"/>
      <c r="AFI47" s="41"/>
      <c r="AFJ47" s="41"/>
      <c r="AFK47" s="41"/>
      <c r="AFL47" s="41"/>
      <c r="AFM47" s="42"/>
      <c r="AFN47" s="90"/>
    </row>
    <row r="48" spans="1:846" ht="20.100000000000001" customHeight="1" x14ac:dyDescent="0.3">
      <c r="A48" s="100" t="s">
        <v>21</v>
      </c>
      <c r="B48" s="63" t="str">
        <f>IF(LEN(C81)=0,"",C81)</f>
        <v/>
      </c>
      <c r="C48" s="219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28"/>
      <c r="RS48" s="67"/>
      <c r="RT48" s="67"/>
      <c r="RU48" s="67"/>
      <c r="RV48" s="29"/>
      <c r="RW48" s="131"/>
      <c r="RX48" s="29"/>
      <c r="RY48" s="29"/>
      <c r="RZ48" s="29"/>
      <c r="SA48" s="29"/>
      <c r="SB48" s="29"/>
      <c r="SC48" s="136"/>
      <c r="SD48" s="29"/>
      <c r="SE48" s="29"/>
      <c r="SF48" s="29"/>
      <c r="SG48" s="29"/>
      <c r="SH48" s="29"/>
      <c r="SI48" s="73"/>
      <c r="SJ48" s="29"/>
      <c r="SK48" s="29"/>
      <c r="SL48" s="29"/>
      <c r="SM48" s="29"/>
      <c r="SN48" s="29"/>
      <c r="SO48" s="136"/>
      <c r="SP48" s="29"/>
      <c r="SQ48" s="29"/>
      <c r="SR48" s="29"/>
      <c r="SS48" s="29"/>
      <c r="ST48" s="29"/>
      <c r="SU48" s="73"/>
      <c r="SV48" s="67"/>
      <c r="SW48" s="67"/>
      <c r="SX48" s="67"/>
      <c r="SY48" s="67"/>
      <c r="SZ48" s="29"/>
      <c r="TA48" s="136"/>
      <c r="TB48" s="29"/>
      <c r="TC48" s="29"/>
      <c r="TD48" s="29"/>
      <c r="TE48" s="29"/>
      <c r="TF48" s="29"/>
      <c r="TG48" s="73"/>
      <c r="TH48" s="29"/>
      <c r="TI48" s="29"/>
      <c r="TJ48" s="29"/>
      <c r="TK48" s="29"/>
      <c r="TL48" s="29"/>
      <c r="TM48" s="136"/>
      <c r="TN48" s="29"/>
      <c r="TO48" s="29"/>
      <c r="TP48" s="29"/>
      <c r="TQ48" s="29"/>
      <c r="TR48" s="29"/>
      <c r="TS48" s="73"/>
      <c r="TT48" s="29"/>
      <c r="TU48" s="29"/>
      <c r="TV48" s="29"/>
      <c r="TW48" s="29"/>
      <c r="TX48" s="29"/>
      <c r="TY48" s="30"/>
      <c r="TZ48" s="28"/>
      <c r="UA48" s="67"/>
      <c r="UB48" s="67"/>
      <c r="UC48" s="67"/>
      <c r="UD48" s="29"/>
      <c r="UE48" s="131"/>
      <c r="UF48" s="29"/>
      <c r="UG48" s="29"/>
      <c r="UH48" s="29"/>
      <c r="UI48" s="29"/>
      <c r="UJ48" s="29"/>
      <c r="UK48" s="136"/>
      <c r="UL48" s="29"/>
      <c r="UM48" s="29"/>
      <c r="UN48" s="29"/>
      <c r="UO48" s="29"/>
      <c r="UP48" s="29"/>
      <c r="UQ48" s="73"/>
      <c r="UR48" s="29"/>
      <c r="US48" s="29"/>
      <c r="UT48" s="29"/>
      <c r="UU48" s="29"/>
      <c r="UV48" s="29"/>
      <c r="UW48" s="136"/>
      <c r="UX48" s="29"/>
      <c r="UY48" s="29"/>
      <c r="UZ48" s="29"/>
      <c r="VA48" s="29"/>
      <c r="VB48" s="29"/>
      <c r="VC48" s="73"/>
      <c r="VD48" s="67"/>
      <c r="VE48" s="67"/>
      <c r="VF48" s="67"/>
      <c r="VG48" s="67"/>
      <c r="VH48" s="29"/>
      <c r="VI48" s="136"/>
      <c r="VJ48" s="29"/>
      <c r="VK48" s="29"/>
      <c r="VL48" s="29"/>
      <c r="VM48" s="29"/>
      <c r="VN48" s="29"/>
      <c r="VO48" s="73"/>
      <c r="VP48" s="29"/>
      <c r="VQ48" s="29"/>
      <c r="VR48" s="29"/>
      <c r="VS48" s="29"/>
      <c r="VT48" s="29"/>
      <c r="VU48" s="136"/>
      <c r="VV48" s="29"/>
      <c r="VW48" s="29"/>
      <c r="VX48" s="29"/>
      <c r="VY48" s="29"/>
      <c r="VZ48" s="29"/>
      <c r="WA48" s="73"/>
      <c r="WB48" s="29"/>
      <c r="WC48" s="29"/>
      <c r="WD48" s="29"/>
      <c r="WE48" s="29"/>
      <c r="WF48" s="29"/>
      <c r="WG48" s="30"/>
      <c r="WH48" s="28"/>
      <c r="WI48" s="67"/>
      <c r="WJ48" s="67"/>
      <c r="WK48" s="67"/>
      <c r="WL48" s="29"/>
      <c r="WM48" s="131"/>
      <c r="WN48" s="29"/>
      <c r="WO48" s="29"/>
      <c r="WP48" s="29"/>
      <c r="WQ48" s="29"/>
      <c r="WR48" s="29"/>
      <c r="WS48" s="136"/>
      <c r="WT48" s="29"/>
      <c r="WU48" s="29"/>
      <c r="WV48" s="29"/>
      <c r="WW48" s="29"/>
      <c r="WX48" s="29"/>
      <c r="WY48" s="73"/>
      <c r="WZ48" s="29"/>
      <c r="XA48" s="29"/>
      <c r="XB48" s="29"/>
      <c r="XC48" s="29"/>
      <c r="XD48" s="29"/>
      <c r="XE48" s="136"/>
      <c r="XF48" s="29"/>
      <c r="XG48" s="29"/>
      <c r="XH48" s="29"/>
      <c r="XI48" s="29"/>
      <c r="XJ48" s="29"/>
      <c r="XK48" s="73"/>
      <c r="XL48" s="67"/>
      <c r="XM48" s="67"/>
      <c r="XN48" s="67"/>
      <c r="XO48" s="67"/>
      <c r="XP48" s="29"/>
      <c r="XQ48" s="136"/>
      <c r="XR48" s="29"/>
      <c r="XS48" s="29"/>
      <c r="XT48" s="29"/>
      <c r="XU48" s="29"/>
      <c r="XV48" s="29"/>
      <c r="XW48" s="73"/>
      <c r="XX48" s="29"/>
      <c r="XY48" s="29"/>
      <c r="XZ48" s="29"/>
      <c r="YA48" s="29"/>
      <c r="YB48" s="29"/>
      <c r="YC48" s="136"/>
      <c r="YD48" s="29"/>
      <c r="YE48" s="29"/>
      <c r="YF48" s="29"/>
      <c r="YG48" s="29"/>
      <c r="YH48" s="29"/>
      <c r="YI48" s="73"/>
      <c r="YJ48" s="29"/>
      <c r="YK48" s="29"/>
      <c r="YL48" s="29"/>
      <c r="YM48" s="29"/>
      <c r="YN48" s="29"/>
      <c r="YO48" s="30"/>
      <c r="YP48" s="28"/>
      <c r="YQ48" s="67"/>
      <c r="YR48" s="67"/>
      <c r="YS48" s="67"/>
      <c r="YT48" s="29"/>
      <c r="YU48" s="131"/>
      <c r="YV48" s="29"/>
      <c r="YW48" s="29"/>
      <c r="YX48" s="29"/>
      <c r="YY48" s="29"/>
      <c r="YZ48" s="29"/>
      <c r="ZA48" s="136"/>
      <c r="ZB48" s="29"/>
      <c r="ZC48" s="29"/>
      <c r="ZD48" s="29"/>
      <c r="ZE48" s="29"/>
      <c r="ZF48" s="29"/>
      <c r="ZG48" s="73"/>
      <c r="ZH48" s="29"/>
      <c r="ZI48" s="29"/>
      <c r="ZJ48" s="29"/>
      <c r="ZK48" s="29"/>
      <c r="ZL48" s="29"/>
      <c r="ZM48" s="136"/>
      <c r="ZN48" s="29"/>
      <c r="ZO48" s="29"/>
      <c r="ZP48" s="29"/>
      <c r="ZQ48" s="29"/>
      <c r="ZR48" s="29"/>
      <c r="ZS48" s="73"/>
      <c r="ZT48" s="67"/>
      <c r="ZU48" s="67"/>
      <c r="ZV48" s="67"/>
      <c r="ZW48" s="67"/>
      <c r="ZX48" s="29"/>
      <c r="ZY48" s="136"/>
      <c r="ZZ48" s="29"/>
      <c r="AAA48" s="29"/>
      <c r="AAB48" s="29"/>
      <c r="AAC48" s="29"/>
      <c r="AAD48" s="29"/>
      <c r="AAE48" s="73"/>
      <c r="AAF48" s="29"/>
      <c r="AAG48" s="29"/>
      <c r="AAH48" s="29"/>
      <c r="AAI48" s="29"/>
      <c r="AAJ48" s="29"/>
      <c r="AAK48" s="136"/>
      <c r="AAL48" s="29"/>
      <c r="AAM48" s="29"/>
      <c r="AAN48" s="29"/>
      <c r="AAO48" s="29"/>
      <c r="AAP48" s="29"/>
      <c r="AAQ48" s="73"/>
      <c r="AAR48" s="29"/>
      <c r="AAS48" s="29"/>
      <c r="AAT48" s="29"/>
      <c r="AAU48" s="29"/>
      <c r="AAV48" s="29"/>
      <c r="AAW48" s="30"/>
      <c r="AAX48" s="28"/>
      <c r="AAY48" s="67"/>
      <c r="AAZ48" s="67"/>
      <c r="ABA48" s="67"/>
      <c r="ABB48" s="29"/>
      <c r="ABC48" s="131"/>
      <c r="ABD48" s="29"/>
      <c r="ABE48" s="29"/>
      <c r="ABF48" s="29"/>
      <c r="ABG48" s="29"/>
      <c r="ABH48" s="29"/>
      <c r="ABI48" s="136"/>
      <c r="ABJ48" s="29"/>
      <c r="ABK48" s="29"/>
      <c r="ABL48" s="29"/>
      <c r="ABM48" s="29"/>
      <c r="ABN48" s="29"/>
      <c r="ABO48" s="73"/>
      <c r="ABP48" s="29"/>
      <c r="ABQ48" s="29"/>
      <c r="ABR48" s="29"/>
      <c r="ABS48" s="29"/>
      <c r="ABT48" s="29"/>
      <c r="ABU48" s="136"/>
      <c r="ABV48" s="29"/>
      <c r="ABW48" s="29"/>
      <c r="ABX48" s="29"/>
      <c r="ABY48" s="29"/>
      <c r="ABZ48" s="29"/>
      <c r="ACA48" s="73"/>
      <c r="ACB48" s="67"/>
      <c r="ACC48" s="67"/>
      <c r="ACD48" s="67"/>
      <c r="ACE48" s="67"/>
      <c r="ACF48" s="29"/>
      <c r="ACG48" s="136"/>
      <c r="ACH48" s="29"/>
      <c r="ACI48" s="29"/>
      <c r="ACJ48" s="29"/>
      <c r="ACK48" s="29"/>
      <c r="ACL48" s="29"/>
      <c r="ACM48" s="73"/>
      <c r="ACN48" s="29"/>
      <c r="ACO48" s="29"/>
      <c r="ACP48" s="29"/>
      <c r="ACQ48" s="29"/>
      <c r="ACR48" s="29"/>
      <c r="ACS48" s="136"/>
      <c r="ACT48" s="29"/>
      <c r="ACU48" s="29"/>
      <c r="ACV48" s="29"/>
      <c r="ACW48" s="29"/>
      <c r="ACX48" s="29"/>
      <c r="ACY48" s="73"/>
      <c r="ACZ48" s="29"/>
      <c r="ADA48" s="29"/>
      <c r="ADB48" s="29"/>
      <c r="ADC48" s="29"/>
      <c r="ADD48" s="29"/>
      <c r="ADE48" s="30"/>
      <c r="ADF48" s="28"/>
      <c r="ADG48" s="67"/>
      <c r="ADH48" s="67"/>
      <c r="ADI48" s="67"/>
      <c r="ADJ48" s="29"/>
      <c r="ADK48" s="131"/>
      <c r="ADL48" s="29"/>
      <c r="ADM48" s="29"/>
      <c r="ADN48" s="29"/>
      <c r="ADO48" s="29"/>
      <c r="ADP48" s="29"/>
      <c r="ADQ48" s="136"/>
      <c r="ADR48" s="29"/>
      <c r="ADS48" s="29"/>
      <c r="ADT48" s="29"/>
      <c r="ADU48" s="29"/>
      <c r="ADV48" s="29"/>
      <c r="ADW48" s="73"/>
      <c r="ADX48" s="29"/>
      <c r="ADY48" s="29"/>
      <c r="ADZ48" s="29"/>
      <c r="AEA48" s="29"/>
      <c r="AEB48" s="29"/>
      <c r="AEC48" s="136"/>
      <c r="AED48" s="29"/>
      <c r="AEE48" s="29"/>
      <c r="AEF48" s="29"/>
      <c r="AEG48" s="29"/>
      <c r="AEH48" s="29"/>
      <c r="AEI48" s="73"/>
      <c r="AEJ48" s="67"/>
      <c r="AEK48" s="67"/>
      <c r="AEL48" s="67"/>
      <c r="AEM48" s="67"/>
      <c r="AEN48" s="29"/>
      <c r="AEO48" s="136"/>
      <c r="AEP48" s="29"/>
      <c r="AEQ48" s="29"/>
      <c r="AER48" s="29"/>
      <c r="AES48" s="29"/>
      <c r="AET48" s="29"/>
      <c r="AEU48" s="73"/>
      <c r="AEV48" s="29"/>
      <c r="AEW48" s="29"/>
      <c r="AEX48" s="29"/>
      <c r="AEY48" s="29"/>
      <c r="AEZ48" s="29"/>
      <c r="AFA48" s="136"/>
      <c r="AFB48" s="29"/>
      <c r="AFC48" s="29"/>
      <c r="AFD48" s="29"/>
      <c r="AFE48" s="29"/>
      <c r="AFF48" s="29"/>
      <c r="AFG48" s="73"/>
      <c r="AFH48" s="29"/>
      <c r="AFI48" s="29"/>
      <c r="AFJ48" s="29"/>
      <c r="AFK48" s="29"/>
      <c r="AFL48" s="29"/>
      <c r="AFM48" s="30"/>
      <c r="AFN48" s="90"/>
    </row>
    <row r="49" spans="1:846" ht="20.100000000000001" customHeight="1" x14ac:dyDescent="0.25">
      <c r="A49" s="100" t="s">
        <v>20</v>
      </c>
      <c r="B49" s="63" t="str">
        <f>IF(LEN(C83)=0,"",C83)</f>
        <v/>
      </c>
      <c r="C49" s="218"/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32"/>
      <c r="RS49" s="64"/>
      <c r="RT49" s="64"/>
      <c r="RU49" s="64"/>
      <c r="RV49" s="33"/>
      <c r="RW49" s="132"/>
      <c r="RX49" s="33"/>
      <c r="RY49" s="33"/>
      <c r="RZ49" s="33"/>
      <c r="SA49" s="33"/>
      <c r="SB49" s="33"/>
      <c r="SC49" s="137"/>
      <c r="SD49" s="33"/>
      <c r="SE49" s="33"/>
      <c r="SF49" s="33"/>
      <c r="SG49" s="33"/>
      <c r="SH49" s="33"/>
      <c r="SI49" s="74"/>
      <c r="SJ49" s="33"/>
      <c r="SK49" s="33"/>
      <c r="SL49" s="33"/>
      <c r="SM49" s="33"/>
      <c r="SN49" s="33"/>
      <c r="SO49" s="137"/>
      <c r="SP49" s="33"/>
      <c r="SQ49" s="33"/>
      <c r="SR49" s="33"/>
      <c r="SS49" s="33"/>
      <c r="ST49" s="33"/>
      <c r="SU49" s="74"/>
      <c r="SV49" s="64"/>
      <c r="SW49" s="64"/>
      <c r="SX49" s="64"/>
      <c r="SY49" s="64"/>
      <c r="SZ49" s="33"/>
      <c r="TA49" s="137"/>
      <c r="TB49" s="33"/>
      <c r="TC49" s="33"/>
      <c r="TD49" s="33"/>
      <c r="TE49" s="33"/>
      <c r="TF49" s="33"/>
      <c r="TG49" s="74"/>
      <c r="TH49" s="33"/>
      <c r="TI49" s="33"/>
      <c r="TJ49" s="33"/>
      <c r="TK49" s="33"/>
      <c r="TL49" s="33"/>
      <c r="TM49" s="137"/>
      <c r="TN49" s="33"/>
      <c r="TO49" s="33"/>
      <c r="TP49" s="33"/>
      <c r="TQ49" s="33"/>
      <c r="TR49" s="33"/>
      <c r="TS49" s="74"/>
      <c r="TT49" s="33"/>
      <c r="TU49" s="33"/>
      <c r="TV49" s="33"/>
      <c r="TW49" s="33"/>
      <c r="TX49" s="33"/>
      <c r="TY49" s="34"/>
      <c r="TZ49" s="32"/>
      <c r="UA49" s="64"/>
      <c r="UB49" s="64"/>
      <c r="UC49" s="64"/>
      <c r="UD49" s="33"/>
      <c r="UE49" s="132"/>
      <c r="UF49" s="33"/>
      <c r="UG49" s="33"/>
      <c r="UH49" s="33"/>
      <c r="UI49" s="33"/>
      <c r="UJ49" s="33"/>
      <c r="UK49" s="137"/>
      <c r="UL49" s="33"/>
      <c r="UM49" s="33"/>
      <c r="UN49" s="33"/>
      <c r="UO49" s="33"/>
      <c r="UP49" s="33"/>
      <c r="UQ49" s="74"/>
      <c r="UR49" s="33"/>
      <c r="US49" s="33"/>
      <c r="UT49" s="33"/>
      <c r="UU49" s="33"/>
      <c r="UV49" s="33"/>
      <c r="UW49" s="137"/>
      <c r="UX49" s="33"/>
      <c r="UY49" s="33"/>
      <c r="UZ49" s="33"/>
      <c r="VA49" s="33"/>
      <c r="VB49" s="33"/>
      <c r="VC49" s="74"/>
      <c r="VD49" s="64"/>
      <c r="VE49" s="64"/>
      <c r="VF49" s="64"/>
      <c r="VG49" s="64"/>
      <c r="VH49" s="33"/>
      <c r="VI49" s="137"/>
      <c r="VJ49" s="33"/>
      <c r="VK49" s="33"/>
      <c r="VL49" s="33"/>
      <c r="VM49" s="33"/>
      <c r="VN49" s="33"/>
      <c r="VO49" s="74"/>
      <c r="VP49" s="33"/>
      <c r="VQ49" s="33"/>
      <c r="VR49" s="33"/>
      <c r="VS49" s="33"/>
      <c r="VT49" s="33"/>
      <c r="VU49" s="137"/>
      <c r="VV49" s="33"/>
      <c r="VW49" s="33"/>
      <c r="VX49" s="33"/>
      <c r="VY49" s="33"/>
      <c r="VZ49" s="33"/>
      <c r="WA49" s="74"/>
      <c r="WB49" s="33"/>
      <c r="WC49" s="33"/>
      <c r="WD49" s="33"/>
      <c r="WE49" s="33"/>
      <c r="WF49" s="33"/>
      <c r="WG49" s="34"/>
      <c r="WH49" s="32"/>
      <c r="WI49" s="64"/>
      <c r="WJ49" s="64"/>
      <c r="WK49" s="64"/>
      <c r="WL49" s="33"/>
      <c r="WM49" s="132"/>
      <c r="WN49" s="33"/>
      <c r="WO49" s="33"/>
      <c r="WP49" s="33"/>
      <c r="WQ49" s="33"/>
      <c r="WR49" s="33"/>
      <c r="WS49" s="137"/>
      <c r="WT49" s="33"/>
      <c r="WU49" s="33"/>
      <c r="WV49" s="33"/>
      <c r="WW49" s="33"/>
      <c r="WX49" s="33"/>
      <c r="WY49" s="74"/>
      <c r="WZ49" s="33"/>
      <c r="XA49" s="33"/>
      <c r="XB49" s="33"/>
      <c r="XC49" s="33"/>
      <c r="XD49" s="33"/>
      <c r="XE49" s="137"/>
      <c r="XF49" s="33"/>
      <c r="XG49" s="33"/>
      <c r="XH49" s="33"/>
      <c r="XI49" s="33"/>
      <c r="XJ49" s="33"/>
      <c r="XK49" s="74"/>
      <c r="XL49" s="64"/>
      <c r="XM49" s="64"/>
      <c r="XN49" s="64"/>
      <c r="XO49" s="64"/>
      <c r="XP49" s="33"/>
      <c r="XQ49" s="137"/>
      <c r="XR49" s="33"/>
      <c r="XS49" s="33"/>
      <c r="XT49" s="33"/>
      <c r="XU49" s="33"/>
      <c r="XV49" s="33"/>
      <c r="XW49" s="74"/>
      <c r="XX49" s="33"/>
      <c r="XY49" s="33"/>
      <c r="XZ49" s="33"/>
      <c r="YA49" s="33"/>
      <c r="YB49" s="33"/>
      <c r="YC49" s="137"/>
      <c r="YD49" s="33"/>
      <c r="YE49" s="33"/>
      <c r="YF49" s="33"/>
      <c r="YG49" s="33"/>
      <c r="YH49" s="33"/>
      <c r="YI49" s="74"/>
      <c r="YJ49" s="33"/>
      <c r="YK49" s="33"/>
      <c r="YL49" s="33"/>
      <c r="YM49" s="33"/>
      <c r="YN49" s="33"/>
      <c r="YO49" s="34"/>
      <c r="YP49" s="32"/>
      <c r="YQ49" s="64"/>
      <c r="YR49" s="64"/>
      <c r="YS49" s="64"/>
      <c r="YT49" s="33"/>
      <c r="YU49" s="132"/>
      <c r="YV49" s="33"/>
      <c r="YW49" s="33"/>
      <c r="YX49" s="33"/>
      <c r="YY49" s="33"/>
      <c r="YZ49" s="33"/>
      <c r="ZA49" s="137"/>
      <c r="ZB49" s="33"/>
      <c r="ZC49" s="33"/>
      <c r="ZD49" s="33"/>
      <c r="ZE49" s="33"/>
      <c r="ZF49" s="33"/>
      <c r="ZG49" s="74"/>
      <c r="ZH49" s="33"/>
      <c r="ZI49" s="33"/>
      <c r="ZJ49" s="33"/>
      <c r="ZK49" s="33"/>
      <c r="ZL49" s="33"/>
      <c r="ZM49" s="137"/>
      <c r="ZN49" s="33"/>
      <c r="ZO49" s="33"/>
      <c r="ZP49" s="33"/>
      <c r="ZQ49" s="33"/>
      <c r="ZR49" s="33"/>
      <c r="ZS49" s="74"/>
      <c r="ZT49" s="64"/>
      <c r="ZU49" s="64"/>
      <c r="ZV49" s="64"/>
      <c r="ZW49" s="64"/>
      <c r="ZX49" s="33"/>
      <c r="ZY49" s="137"/>
      <c r="ZZ49" s="33"/>
      <c r="AAA49" s="33"/>
      <c r="AAB49" s="33"/>
      <c r="AAC49" s="33"/>
      <c r="AAD49" s="33"/>
      <c r="AAE49" s="74"/>
      <c r="AAF49" s="33"/>
      <c r="AAG49" s="33"/>
      <c r="AAH49" s="33"/>
      <c r="AAI49" s="33"/>
      <c r="AAJ49" s="33"/>
      <c r="AAK49" s="137"/>
      <c r="AAL49" s="33"/>
      <c r="AAM49" s="33"/>
      <c r="AAN49" s="33"/>
      <c r="AAO49" s="33"/>
      <c r="AAP49" s="33"/>
      <c r="AAQ49" s="74"/>
      <c r="AAR49" s="33"/>
      <c r="AAS49" s="33"/>
      <c r="AAT49" s="33"/>
      <c r="AAU49" s="33"/>
      <c r="AAV49" s="33"/>
      <c r="AAW49" s="34"/>
      <c r="AAX49" s="32"/>
      <c r="AAY49" s="64"/>
      <c r="AAZ49" s="64"/>
      <c r="ABA49" s="64"/>
      <c r="ABB49" s="33"/>
      <c r="ABC49" s="132"/>
      <c r="ABD49" s="33"/>
      <c r="ABE49" s="33"/>
      <c r="ABF49" s="33"/>
      <c r="ABG49" s="33"/>
      <c r="ABH49" s="33"/>
      <c r="ABI49" s="137"/>
      <c r="ABJ49" s="33"/>
      <c r="ABK49" s="33"/>
      <c r="ABL49" s="33"/>
      <c r="ABM49" s="33"/>
      <c r="ABN49" s="33"/>
      <c r="ABO49" s="74"/>
      <c r="ABP49" s="33"/>
      <c r="ABQ49" s="33"/>
      <c r="ABR49" s="33"/>
      <c r="ABS49" s="33"/>
      <c r="ABT49" s="33"/>
      <c r="ABU49" s="137"/>
      <c r="ABV49" s="33"/>
      <c r="ABW49" s="33"/>
      <c r="ABX49" s="33"/>
      <c r="ABY49" s="33"/>
      <c r="ABZ49" s="33"/>
      <c r="ACA49" s="74"/>
      <c r="ACB49" s="64"/>
      <c r="ACC49" s="64"/>
      <c r="ACD49" s="64"/>
      <c r="ACE49" s="64"/>
      <c r="ACF49" s="33"/>
      <c r="ACG49" s="137"/>
      <c r="ACH49" s="33"/>
      <c r="ACI49" s="33"/>
      <c r="ACJ49" s="33"/>
      <c r="ACK49" s="33"/>
      <c r="ACL49" s="33"/>
      <c r="ACM49" s="74"/>
      <c r="ACN49" s="33"/>
      <c r="ACO49" s="33"/>
      <c r="ACP49" s="33"/>
      <c r="ACQ49" s="33"/>
      <c r="ACR49" s="33"/>
      <c r="ACS49" s="137"/>
      <c r="ACT49" s="33"/>
      <c r="ACU49" s="33"/>
      <c r="ACV49" s="33"/>
      <c r="ACW49" s="33"/>
      <c r="ACX49" s="33"/>
      <c r="ACY49" s="74"/>
      <c r="ACZ49" s="33"/>
      <c r="ADA49" s="33"/>
      <c r="ADB49" s="33"/>
      <c r="ADC49" s="33"/>
      <c r="ADD49" s="33"/>
      <c r="ADE49" s="34"/>
      <c r="ADF49" s="32"/>
      <c r="ADG49" s="64"/>
      <c r="ADH49" s="64"/>
      <c r="ADI49" s="64"/>
      <c r="ADJ49" s="33"/>
      <c r="ADK49" s="132"/>
      <c r="ADL49" s="33"/>
      <c r="ADM49" s="33"/>
      <c r="ADN49" s="33"/>
      <c r="ADO49" s="33"/>
      <c r="ADP49" s="33"/>
      <c r="ADQ49" s="137"/>
      <c r="ADR49" s="33"/>
      <c r="ADS49" s="33"/>
      <c r="ADT49" s="33"/>
      <c r="ADU49" s="33"/>
      <c r="ADV49" s="33"/>
      <c r="ADW49" s="74"/>
      <c r="ADX49" s="33"/>
      <c r="ADY49" s="33"/>
      <c r="ADZ49" s="33"/>
      <c r="AEA49" s="33"/>
      <c r="AEB49" s="33"/>
      <c r="AEC49" s="137"/>
      <c r="AED49" s="33"/>
      <c r="AEE49" s="33"/>
      <c r="AEF49" s="33"/>
      <c r="AEG49" s="33"/>
      <c r="AEH49" s="33"/>
      <c r="AEI49" s="74"/>
      <c r="AEJ49" s="64"/>
      <c r="AEK49" s="64"/>
      <c r="AEL49" s="64"/>
      <c r="AEM49" s="64"/>
      <c r="AEN49" s="33"/>
      <c r="AEO49" s="137"/>
      <c r="AEP49" s="33"/>
      <c r="AEQ49" s="33"/>
      <c r="AER49" s="33"/>
      <c r="AES49" s="33"/>
      <c r="AET49" s="33"/>
      <c r="AEU49" s="74"/>
      <c r="AEV49" s="33"/>
      <c r="AEW49" s="33"/>
      <c r="AEX49" s="33"/>
      <c r="AEY49" s="33"/>
      <c r="AEZ49" s="33"/>
      <c r="AFA49" s="137"/>
      <c r="AFB49" s="33"/>
      <c r="AFC49" s="33"/>
      <c r="AFD49" s="33"/>
      <c r="AFE49" s="33"/>
      <c r="AFF49" s="33"/>
      <c r="AFG49" s="74"/>
      <c r="AFH49" s="33"/>
      <c r="AFI49" s="33"/>
      <c r="AFJ49" s="33"/>
      <c r="AFK49" s="33"/>
      <c r="AFL49" s="33"/>
      <c r="AFM49" s="34"/>
      <c r="AFN49" s="90"/>
    </row>
    <row r="50" spans="1:846" ht="20.100000000000001" customHeight="1" x14ac:dyDescent="0.3">
      <c r="A50" s="100" t="s">
        <v>21</v>
      </c>
      <c r="B50" s="63" t="str">
        <f>IF(LEN(C85)=0,"",C85)</f>
        <v/>
      </c>
      <c r="C50" s="219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36"/>
      <c r="RS50" s="65"/>
      <c r="RT50" s="65"/>
      <c r="RU50" s="65"/>
      <c r="RV50" s="37"/>
      <c r="RW50" s="133"/>
      <c r="RX50" s="37"/>
      <c r="RY50" s="37"/>
      <c r="RZ50" s="37"/>
      <c r="SA50" s="37"/>
      <c r="SB50" s="37"/>
      <c r="SC50" s="138"/>
      <c r="SD50" s="37"/>
      <c r="SE50" s="37"/>
      <c r="SF50" s="37"/>
      <c r="SG50" s="37"/>
      <c r="SH50" s="37"/>
      <c r="SI50" s="75"/>
      <c r="SJ50" s="37"/>
      <c r="SK50" s="37"/>
      <c r="SL50" s="37"/>
      <c r="SM50" s="37"/>
      <c r="SN50" s="37"/>
      <c r="SO50" s="138"/>
      <c r="SP50" s="37"/>
      <c r="SQ50" s="37"/>
      <c r="SR50" s="37"/>
      <c r="SS50" s="37"/>
      <c r="ST50" s="37"/>
      <c r="SU50" s="75"/>
      <c r="SV50" s="65"/>
      <c r="SW50" s="65"/>
      <c r="SX50" s="65"/>
      <c r="SY50" s="65"/>
      <c r="SZ50" s="37"/>
      <c r="TA50" s="138"/>
      <c r="TB50" s="37"/>
      <c r="TC50" s="37"/>
      <c r="TD50" s="37"/>
      <c r="TE50" s="37"/>
      <c r="TF50" s="37"/>
      <c r="TG50" s="75"/>
      <c r="TH50" s="37"/>
      <c r="TI50" s="37"/>
      <c r="TJ50" s="37"/>
      <c r="TK50" s="37"/>
      <c r="TL50" s="37"/>
      <c r="TM50" s="138"/>
      <c r="TN50" s="37"/>
      <c r="TO50" s="37"/>
      <c r="TP50" s="37"/>
      <c r="TQ50" s="37"/>
      <c r="TR50" s="37"/>
      <c r="TS50" s="75"/>
      <c r="TT50" s="37"/>
      <c r="TU50" s="37"/>
      <c r="TV50" s="37"/>
      <c r="TW50" s="37"/>
      <c r="TX50" s="37"/>
      <c r="TY50" s="38"/>
      <c r="TZ50" s="36"/>
      <c r="UA50" s="65"/>
      <c r="UB50" s="65"/>
      <c r="UC50" s="65"/>
      <c r="UD50" s="37"/>
      <c r="UE50" s="133"/>
      <c r="UF50" s="37"/>
      <c r="UG50" s="37"/>
      <c r="UH50" s="37"/>
      <c r="UI50" s="37"/>
      <c r="UJ50" s="37"/>
      <c r="UK50" s="138"/>
      <c r="UL50" s="37"/>
      <c r="UM50" s="37"/>
      <c r="UN50" s="37"/>
      <c r="UO50" s="37"/>
      <c r="UP50" s="37"/>
      <c r="UQ50" s="75"/>
      <c r="UR50" s="37"/>
      <c r="US50" s="37"/>
      <c r="UT50" s="37"/>
      <c r="UU50" s="37"/>
      <c r="UV50" s="37"/>
      <c r="UW50" s="138"/>
      <c r="UX50" s="37"/>
      <c r="UY50" s="37"/>
      <c r="UZ50" s="37"/>
      <c r="VA50" s="37"/>
      <c r="VB50" s="37"/>
      <c r="VC50" s="75"/>
      <c r="VD50" s="65"/>
      <c r="VE50" s="65"/>
      <c r="VF50" s="65"/>
      <c r="VG50" s="65"/>
      <c r="VH50" s="37"/>
      <c r="VI50" s="138"/>
      <c r="VJ50" s="37"/>
      <c r="VK50" s="37"/>
      <c r="VL50" s="37"/>
      <c r="VM50" s="37"/>
      <c r="VN50" s="37"/>
      <c r="VO50" s="75"/>
      <c r="VP50" s="37"/>
      <c r="VQ50" s="37"/>
      <c r="VR50" s="37"/>
      <c r="VS50" s="37"/>
      <c r="VT50" s="37"/>
      <c r="VU50" s="138"/>
      <c r="VV50" s="37"/>
      <c r="VW50" s="37"/>
      <c r="VX50" s="37"/>
      <c r="VY50" s="37"/>
      <c r="VZ50" s="37"/>
      <c r="WA50" s="75"/>
      <c r="WB50" s="37"/>
      <c r="WC50" s="37"/>
      <c r="WD50" s="37"/>
      <c r="WE50" s="37"/>
      <c r="WF50" s="37"/>
      <c r="WG50" s="38"/>
      <c r="WH50" s="36"/>
      <c r="WI50" s="65"/>
      <c r="WJ50" s="65"/>
      <c r="WK50" s="65"/>
      <c r="WL50" s="37"/>
      <c r="WM50" s="133"/>
      <c r="WN50" s="37"/>
      <c r="WO50" s="37"/>
      <c r="WP50" s="37"/>
      <c r="WQ50" s="37"/>
      <c r="WR50" s="37"/>
      <c r="WS50" s="138"/>
      <c r="WT50" s="37"/>
      <c r="WU50" s="37"/>
      <c r="WV50" s="37"/>
      <c r="WW50" s="37"/>
      <c r="WX50" s="37"/>
      <c r="WY50" s="75"/>
      <c r="WZ50" s="37"/>
      <c r="XA50" s="37"/>
      <c r="XB50" s="37"/>
      <c r="XC50" s="37"/>
      <c r="XD50" s="37"/>
      <c r="XE50" s="138"/>
      <c r="XF50" s="37"/>
      <c r="XG50" s="37"/>
      <c r="XH50" s="37"/>
      <c r="XI50" s="37"/>
      <c r="XJ50" s="37"/>
      <c r="XK50" s="75"/>
      <c r="XL50" s="65"/>
      <c r="XM50" s="65"/>
      <c r="XN50" s="65"/>
      <c r="XO50" s="65"/>
      <c r="XP50" s="37"/>
      <c r="XQ50" s="138"/>
      <c r="XR50" s="37"/>
      <c r="XS50" s="37"/>
      <c r="XT50" s="37"/>
      <c r="XU50" s="37"/>
      <c r="XV50" s="37"/>
      <c r="XW50" s="75"/>
      <c r="XX50" s="37"/>
      <c r="XY50" s="37"/>
      <c r="XZ50" s="37"/>
      <c r="YA50" s="37"/>
      <c r="YB50" s="37"/>
      <c r="YC50" s="138"/>
      <c r="YD50" s="37"/>
      <c r="YE50" s="37"/>
      <c r="YF50" s="37"/>
      <c r="YG50" s="37"/>
      <c r="YH50" s="37"/>
      <c r="YI50" s="75"/>
      <c r="YJ50" s="37"/>
      <c r="YK50" s="37"/>
      <c r="YL50" s="37"/>
      <c r="YM50" s="37"/>
      <c r="YN50" s="37"/>
      <c r="YO50" s="38"/>
      <c r="YP50" s="36"/>
      <c r="YQ50" s="65"/>
      <c r="YR50" s="65"/>
      <c r="YS50" s="65"/>
      <c r="YT50" s="37"/>
      <c r="YU50" s="133"/>
      <c r="YV50" s="37"/>
      <c r="YW50" s="37"/>
      <c r="YX50" s="37"/>
      <c r="YY50" s="37"/>
      <c r="YZ50" s="37"/>
      <c r="ZA50" s="138"/>
      <c r="ZB50" s="37"/>
      <c r="ZC50" s="37"/>
      <c r="ZD50" s="37"/>
      <c r="ZE50" s="37"/>
      <c r="ZF50" s="37"/>
      <c r="ZG50" s="75"/>
      <c r="ZH50" s="37"/>
      <c r="ZI50" s="37"/>
      <c r="ZJ50" s="37"/>
      <c r="ZK50" s="37"/>
      <c r="ZL50" s="37"/>
      <c r="ZM50" s="138"/>
      <c r="ZN50" s="37"/>
      <c r="ZO50" s="37"/>
      <c r="ZP50" s="37"/>
      <c r="ZQ50" s="37"/>
      <c r="ZR50" s="37"/>
      <c r="ZS50" s="75"/>
      <c r="ZT50" s="65"/>
      <c r="ZU50" s="65"/>
      <c r="ZV50" s="65"/>
      <c r="ZW50" s="65"/>
      <c r="ZX50" s="37"/>
      <c r="ZY50" s="138"/>
      <c r="ZZ50" s="37"/>
      <c r="AAA50" s="37"/>
      <c r="AAB50" s="37"/>
      <c r="AAC50" s="37"/>
      <c r="AAD50" s="37"/>
      <c r="AAE50" s="75"/>
      <c r="AAF50" s="37"/>
      <c r="AAG50" s="37"/>
      <c r="AAH50" s="37"/>
      <c r="AAI50" s="37"/>
      <c r="AAJ50" s="37"/>
      <c r="AAK50" s="138"/>
      <c r="AAL50" s="37"/>
      <c r="AAM50" s="37"/>
      <c r="AAN50" s="37"/>
      <c r="AAO50" s="37"/>
      <c r="AAP50" s="37"/>
      <c r="AAQ50" s="75"/>
      <c r="AAR50" s="37"/>
      <c r="AAS50" s="37"/>
      <c r="AAT50" s="37"/>
      <c r="AAU50" s="37"/>
      <c r="AAV50" s="37"/>
      <c r="AAW50" s="38"/>
      <c r="AAX50" s="36"/>
      <c r="AAY50" s="65"/>
      <c r="AAZ50" s="65"/>
      <c r="ABA50" s="65"/>
      <c r="ABB50" s="37"/>
      <c r="ABC50" s="133"/>
      <c r="ABD50" s="37"/>
      <c r="ABE50" s="37"/>
      <c r="ABF50" s="37"/>
      <c r="ABG50" s="37"/>
      <c r="ABH50" s="37"/>
      <c r="ABI50" s="138"/>
      <c r="ABJ50" s="37"/>
      <c r="ABK50" s="37"/>
      <c r="ABL50" s="37"/>
      <c r="ABM50" s="37"/>
      <c r="ABN50" s="37"/>
      <c r="ABO50" s="75"/>
      <c r="ABP50" s="37"/>
      <c r="ABQ50" s="37"/>
      <c r="ABR50" s="37"/>
      <c r="ABS50" s="37"/>
      <c r="ABT50" s="37"/>
      <c r="ABU50" s="138"/>
      <c r="ABV50" s="37"/>
      <c r="ABW50" s="37"/>
      <c r="ABX50" s="37"/>
      <c r="ABY50" s="37"/>
      <c r="ABZ50" s="37"/>
      <c r="ACA50" s="75"/>
      <c r="ACB50" s="65"/>
      <c r="ACC50" s="65"/>
      <c r="ACD50" s="65"/>
      <c r="ACE50" s="65"/>
      <c r="ACF50" s="37"/>
      <c r="ACG50" s="138"/>
      <c r="ACH50" s="37"/>
      <c r="ACI50" s="37"/>
      <c r="ACJ50" s="37"/>
      <c r="ACK50" s="37"/>
      <c r="ACL50" s="37"/>
      <c r="ACM50" s="75"/>
      <c r="ACN50" s="37"/>
      <c r="ACO50" s="37"/>
      <c r="ACP50" s="37"/>
      <c r="ACQ50" s="37"/>
      <c r="ACR50" s="37"/>
      <c r="ACS50" s="138"/>
      <c r="ACT50" s="37"/>
      <c r="ACU50" s="37"/>
      <c r="ACV50" s="37"/>
      <c r="ACW50" s="37"/>
      <c r="ACX50" s="37"/>
      <c r="ACY50" s="75"/>
      <c r="ACZ50" s="37"/>
      <c r="ADA50" s="37"/>
      <c r="ADB50" s="37"/>
      <c r="ADC50" s="37"/>
      <c r="ADD50" s="37"/>
      <c r="ADE50" s="38"/>
      <c r="ADF50" s="36"/>
      <c r="ADG50" s="65"/>
      <c r="ADH50" s="65"/>
      <c r="ADI50" s="65"/>
      <c r="ADJ50" s="37"/>
      <c r="ADK50" s="133"/>
      <c r="ADL50" s="37"/>
      <c r="ADM50" s="37"/>
      <c r="ADN50" s="37"/>
      <c r="ADO50" s="37"/>
      <c r="ADP50" s="37"/>
      <c r="ADQ50" s="138"/>
      <c r="ADR50" s="37"/>
      <c r="ADS50" s="37"/>
      <c r="ADT50" s="37"/>
      <c r="ADU50" s="37"/>
      <c r="ADV50" s="37"/>
      <c r="ADW50" s="75"/>
      <c r="ADX50" s="37"/>
      <c r="ADY50" s="37"/>
      <c r="ADZ50" s="37"/>
      <c r="AEA50" s="37"/>
      <c r="AEB50" s="37"/>
      <c r="AEC50" s="138"/>
      <c r="AED50" s="37"/>
      <c r="AEE50" s="37"/>
      <c r="AEF50" s="37"/>
      <c r="AEG50" s="37"/>
      <c r="AEH50" s="37"/>
      <c r="AEI50" s="75"/>
      <c r="AEJ50" s="65"/>
      <c r="AEK50" s="65"/>
      <c r="AEL50" s="65"/>
      <c r="AEM50" s="65"/>
      <c r="AEN50" s="37"/>
      <c r="AEO50" s="138"/>
      <c r="AEP50" s="37"/>
      <c r="AEQ50" s="37"/>
      <c r="AER50" s="37"/>
      <c r="AES50" s="37"/>
      <c r="AET50" s="37"/>
      <c r="AEU50" s="75"/>
      <c r="AEV50" s="37"/>
      <c r="AEW50" s="37"/>
      <c r="AEX50" s="37"/>
      <c r="AEY50" s="37"/>
      <c r="AEZ50" s="37"/>
      <c r="AFA50" s="138"/>
      <c r="AFB50" s="37"/>
      <c r="AFC50" s="37"/>
      <c r="AFD50" s="37"/>
      <c r="AFE50" s="37"/>
      <c r="AFF50" s="37"/>
      <c r="AFG50" s="75"/>
      <c r="AFH50" s="37"/>
      <c r="AFI50" s="37"/>
      <c r="AFJ50" s="37"/>
      <c r="AFK50" s="37"/>
      <c r="AFL50" s="37"/>
      <c r="AFM50" s="38"/>
      <c r="AFN50" s="90"/>
    </row>
    <row r="51" spans="1:846" ht="20.100000000000001" customHeight="1" x14ac:dyDescent="0.25">
      <c r="A51" s="100" t="s">
        <v>20</v>
      </c>
      <c r="B51" s="63" t="str">
        <f>IF(LEN(C87)=0,"",C87)</f>
        <v/>
      </c>
      <c r="C51" s="218"/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40"/>
      <c r="RS51" s="66"/>
      <c r="RT51" s="66"/>
      <c r="RU51" s="66"/>
      <c r="RV51" s="41"/>
      <c r="RW51" s="134"/>
      <c r="RX51" s="41"/>
      <c r="RY51" s="41"/>
      <c r="RZ51" s="41"/>
      <c r="SA51" s="41"/>
      <c r="SB51" s="41"/>
      <c r="SC51" s="139"/>
      <c r="SD51" s="41"/>
      <c r="SE51" s="41"/>
      <c r="SF51" s="41"/>
      <c r="SG51" s="41"/>
      <c r="SH51" s="41"/>
      <c r="SI51" s="76"/>
      <c r="SJ51" s="41"/>
      <c r="SK51" s="41"/>
      <c r="SL51" s="41"/>
      <c r="SM51" s="41"/>
      <c r="SN51" s="41"/>
      <c r="SO51" s="139"/>
      <c r="SP51" s="41"/>
      <c r="SQ51" s="41"/>
      <c r="SR51" s="41"/>
      <c r="SS51" s="41"/>
      <c r="ST51" s="41"/>
      <c r="SU51" s="76"/>
      <c r="SV51" s="66"/>
      <c r="SW51" s="66"/>
      <c r="SX51" s="66"/>
      <c r="SY51" s="66"/>
      <c r="SZ51" s="41"/>
      <c r="TA51" s="139"/>
      <c r="TB51" s="41"/>
      <c r="TC51" s="41"/>
      <c r="TD51" s="41"/>
      <c r="TE51" s="41"/>
      <c r="TF51" s="41"/>
      <c r="TG51" s="76"/>
      <c r="TH51" s="41"/>
      <c r="TI51" s="41"/>
      <c r="TJ51" s="41"/>
      <c r="TK51" s="41"/>
      <c r="TL51" s="41"/>
      <c r="TM51" s="139"/>
      <c r="TN51" s="41"/>
      <c r="TO51" s="41"/>
      <c r="TP51" s="41"/>
      <c r="TQ51" s="41"/>
      <c r="TR51" s="41"/>
      <c r="TS51" s="76"/>
      <c r="TT51" s="41"/>
      <c r="TU51" s="41"/>
      <c r="TV51" s="41"/>
      <c r="TW51" s="41"/>
      <c r="TX51" s="41"/>
      <c r="TY51" s="42"/>
      <c r="TZ51" s="40"/>
      <c r="UA51" s="66"/>
      <c r="UB51" s="66"/>
      <c r="UC51" s="66"/>
      <c r="UD51" s="41"/>
      <c r="UE51" s="134"/>
      <c r="UF51" s="41"/>
      <c r="UG51" s="41"/>
      <c r="UH51" s="41"/>
      <c r="UI51" s="41"/>
      <c r="UJ51" s="41"/>
      <c r="UK51" s="139"/>
      <c r="UL51" s="41"/>
      <c r="UM51" s="41"/>
      <c r="UN51" s="41"/>
      <c r="UO51" s="41"/>
      <c r="UP51" s="41"/>
      <c r="UQ51" s="76"/>
      <c r="UR51" s="41"/>
      <c r="US51" s="41"/>
      <c r="UT51" s="41"/>
      <c r="UU51" s="41"/>
      <c r="UV51" s="41"/>
      <c r="UW51" s="139"/>
      <c r="UX51" s="41"/>
      <c r="UY51" s="41"/>
      <c r="UZ51" s="41"/>
      <c r="VA51" s="41"/>
      <c r="VB51" s="41"/>
      <c r="VC51" s="76"/>
      <c r="VD51" s="66"/>
      <c r="VE51" s="66"/>
      <c r="VF51" s="66"/>
      <c r="VG51" s="66"/>
      <c r="VH51" s="41"/>
      <c r="VI51" s="139"/>
      <c r="VJ51" s="41"/>
      <c r="VK51" s="41"/>
      <c r="VL51" s="41"/>
      <c r="VM51" s="41"/>
      <c r="VN51" s="41"/>
      <c r="VO51" s="76"/>
      <c r="VP51" s="41"/>
      <c r="VQ51" s="41"/>
      <c r="VR51" s="41"/>
      <c r="VS51" s="41"/>
      <c r="VT51" s="41"/>
      <c r="VU51" s="139"/>
      <c r="VV51" s="41"/>
      <c r="VW51" s="41"/>
      <c r="VX51" s="41"/>
      <c r="VY51" s="41"/>
      <c r="VZ51" s="41"/>
      <c r="WA51" s="76"/>
      <c r="WB51" s="41"/>
      <c r="WC51" s="41"/>
      <c r="WD51" s="41"/>
      <c r="WE51" s="41"/>
      <c r="WF51" s="41"/>
      <c r="WG51" s="42"/>
      <c r="WH51" s="40"/>
      <c r="WI51" s="66"/>
      <c r="WJ51" s="66"/>
      <c r="WK51" s="66"/>
      <c r="WL51" s="41"/>
      <c r="WM51" s="134"/>
      <c r="WN51" s="41"/>
      <c r="WO51" s="41"/>
      <c r="WP51" s="41"/>
      <c r="WQ51" s="41"/>
      <c r="WR51" s="41"/>
      <c r="WS51" s="139"/>
      <c r="WT51" s="41"/>
      <c r="WU51" s="41"/>
      <c r="WV51" s="41"/>
      <c r="WW51" s="41"/>
      <c r="WX51" s="41"/>
      <c r="WY51" s="76"/>
      <c r="WZ51" s="41"/>
      <c r="XA51" s="41"/>
      <c r="XB51" s="41"/>
      <c r="XC51" s="41"/>
      <c r="XD51" s="41"/>
      <c r="XE51" s="139"/>
      <c r="XF51" s="41"/>
      <c r="XG51" s="41"/>
      <c r="XH51" s="41"/>
      <c r="XI51" s="41"/>
      <c r="XJ51" s="41"/>
      <c r="XK51" s="76"/>
      <c r="XL51" s="66"/>
      <c r="XM51" s="66"/>
      <c r="XN51" s="66"/>
      <c r="XO51" s="66"/>
      <c r="XP51" s="41"/>
      <c r="XQ51" s="139"/>
      <c r="XR51" s="41"/>
      <c r="XS51" s="41"/>
      <c r="XT51" s="41"/>
      <c r="XU51" s="41"/>
      <c r="XV51" s="41"/>
      <c r="XW51" s="76"/>
      <c r="XX51" s="41"/>
      <c r="XY51" s="41"/>
      <c r="XZ51" s="41"/>
      <c r="YA51" s="41"/>
      <c r="YB51" s="41"/>
      <c r="YC51" s="139"/>
      <c r="YD51" s="41"/>
      <c r="YE51" s="41"/>
      <c r="YF51" s="41"/>
      <c r="YG51" s="41"/>
      <c r="YH51" s="41"/>
      <c r="YI51" s="76"/>
      <c r="YJ51" s="41"/>
      <c r="YK51" s="41"/>
      <c r="YL51" s="41"/>
      <c r="YM51" s="41"/>
      <c r="YN51" s="41"/>
      <c r="YO51" s="42"/>
      <c r="YP51" s="40"/>
      <c r="YQ51" s="66"/>
      <c r="YR51" s="66"/>
      <c r="YS51" s="66"/>
      <c r="YT51" s="41"/>
      <c r="YU51" s="134"/>
      <c r="YV51" s="41"/>
      <c r="YW51" s="41"/>
      <c r="YX51" s="41"/>
      <c r="YY51" s="41"/>
      <c r="YZ51" s="41"/>
      <c r="ZA51" s="139"/>
      <c r="ZB51" s="41"/>
      <c r="ZC51" s="41"/>
      <c r="ZD51" s="41"/>
      <c r="ZE51" s="41"/>
      <c r="ZF51" s="41"/>
      <c r="ZG51" s="76"/>
      <c r="ZH51" s="41"/>
      <c r="ZI51" s="41"/>
      <c r="ZJ51" s="41"/>
      <c r="ZK51" s="41"/>
      <c r="ZL51" s="41"/>
      <c r="ZM51" s="139"/>
      <c r="ZN51" s="41"/>
      <c r="ZO51" s="41"/>
      <c r="ZP51" s="41"/>
      <c r="ZQ51" s="41"/>
      <c r="ZR51" s="41"/>
      <c r="ZS51" s="76"/>
      <c r="ZT51" s="66"/>
      <c r="ZU51" s="66"/>
      <c r="ZV51" s="66"/>
      <c r="ZW51" s="66"/>
      <c r="ZX51" s="41"/>
      <c r="ZY51" s="139"/>
      <c r="ZZ51" s="41"/>
      <c r="AAA51" s="41"/>
      <c r="AAB51" s="41"/>
      <c r="AAC51" s="41"/>
      <c r="AAD51" s="41"/>
      <c r="AAE51" s="76"/>
      <c r="AAF51" s="41"/>
      <c r="AAG51" s="41"/>
      <c r="AAH51" s="41"/>
      <c r="AAI51" s="41"/>
      <c r="AAJ51" s="41"/>
      <c r="AAK51" s="139"/>
      <c r="AAL51" s="41"/>
      <c r="AAM51" s="41"/>
      <c r="AAN51" s="41"/>
      <c r="AAO51" s="41"/>
      <c r="AAP51" s="41"/>
      <c r="AAQ51" s="76"/>
      <c r="AAR51" s="41"/>
      <c r="AAS51" s="41"/>
      <c r="AAT51" s="41"/>
      <c r="AAU51" s="41"/>
      <c r="AAV51" s="41"/>
      <c r="AAW51" s="42"/>
      <c r="AAX51" s="40"/>
      <c r="AAY51" s="66"/>
      <c r="AAZ51" s="66"/>
      <c r="ABA51" s="66"/>
      <c r="ABB51" s="41"/>
      <c r="ABC51" s="134"/>
      <c r="ABD51" s="41"/>
      <c r="ABE51" s="41"/>
      <c r="ABF51" s="41"/>
      <c r="ABG51" s="41"/>
      <c r="ABH51" s="41"/>
      <c r="ABI51" s="139"/>
      <c r="ABJ51" s="41"/>
      <c r="ABK51" s="41"/>
      <c r="ABL51" s="41"/>
      <c r="ABM51" s="41"/>
      <c r="ABN51" s="41"/>
      <c r="ABO51" s="76"/>
      <c r="ABP51" s="41"/>
      <c r="ABQ51" s="41"/>
      <c r="ABR51" s="41"/>
      <c r="ABS51" s="41"/>
      <c r="ABT51" s="41"/>
      <c r="ABU51" s="139"/>
      <c r="ABV51" s="41"/>
      <c r="ABW51" s="41"/>
      <c r="ABX51" s="41"/>
      <c r="ABY51" s="41"/>
      <c r="ABZ51" s="41"/>
      <c r="ACA51" s="76"/>
      <c r="ACB51" s="66"/>
      <c r="ACC51" s="66"/>
      <c r="ACD51" s="66"/>
      <c r="ACE51" s="66"/>
      <c r="ACF51" s="41"/>
      <c r="ACG51" s="139"/>
      <c r="ACH51" s="41"/>
      <c r="ACI51" s="41"/>
      <c r="ACJ51" s="41"/>
      <c r="ACK51" s="41"/>
      <c r="ACL51" s="41"/>
      <c r="ACM51" s="76"/>
      <c r="ACN51" s="41"/>
      <c r="ACO51" s="41"/>
      <c r="ACP51" s="41"/>
      <c r="ACQ51" s="41"/>
      <c r="ACR51" s="41"/>
      <c r="ACS51" s="139"/>
      <c r="ACT51" s="41"/>
      <c r="ACU51" s="41"/>
      <c r="ACV51" s="41"/>
      <c r="ACW51" s="41"/>
      <c r="ACX51" s="41"/>
      <c r="ACY51" s="76"/>
      <c r="ACZ51" s="41"/>
      <c r="ADA51" s="41"/>
      <c r="ADB51" s="41"/>
      <c r="ADC51" s="41"/>
      <c r="ADD51" s="41"/>
      <c r="ADE51" s="42"/>
      <c r="ADF51" s="40"/>
      <c r="ADG51" s="66"/>
      <c r="ADH51" s="66"/>
      <c r="ADI51" s="66"/>
      <c r="ADJ51" s="41"/>
      <c r="ADK51" s="134"/>
      <c r="ADL51" s="41"/>
      <c r="ADM51" s="41"/>
      <c r="ADN51" s="41"/>
      <c r="ADO51" s="41"/>
      <c r="ADP51" s="41"/>
      <c r="ADQ51" s="139"/>
      <c r="ADR51" s="41"/>
      <c r="ADS51" s="41"/>
      <c r="ADT51" s="41"/>
      <c r="ADU51" s="41"/>
      <c r="ADV51" s="41"/>
      <c r="ADW51" s="76"/>
      <c r="ADX51" s="41"/>
      <c r="ADY51" s="41"/>
      <c r="ADZ51" s="41"/>
      <c r="AEA51" s="41"/>
      <c r="AEB51" s="41"/>
      <c r="AEC51" s="139"/>
      <c r="AED51" s="41"/>
      <c r="AEE51" s="41"/>
      <c r="AEF51" s="41"/>
      <c r="AEG51" s="41"/>
      <c r="AEH51" s="41"/>
      <c r="AEI51" s="76"/>
      <c r="AEJ51" s="66"/>
      <c r="AEK51" s="66"/>
      <c r="AEL51" s="66"/>
      <c r="AEM51" s="66"/>
      <c r="AEN51" s="41"/>
      <c r="AEO51" s="139"/>
      <c r="AEP51" s="41"/>
      <c r="AEQ51" s="41"/>
      <c r="AER51" s="41"/>
      <c r="AES51" s="41"/>
      <c r="AET51" s="41"/>
      <c r="AEU51" s="76"/>
      <c r="AEV51" s="41"/>
      <c r="AEW51" s="41"/>
      <c r="AEX51" s="41"/>
      <c r="AEY51" s="41"/>
      <c r="AEZ51" s="41"/>
      <c r="AFA51" s="139"/>
      <c r="AFB51" s="41"/>
      <c r="AFC51" s="41"/>
      <c r="AFD51" s="41"/>
      <c r="AFE51" s="41"/>
      <c r="AFF51" s="41"/>
      <c r="AFG51" s="76"/>
      <c r="AFH51" s="41"/>
      <c r="AFI51" s="41"/>
      <c r="AFJ51" s="41"/>
      <c r="AFK51" s="41"/>
      <c r="AFL51" s="41"/>
      <c r="AFM51" s="42"/>
      <c r="AFN51" s="90"/>
    </row>
    <row r="52" spans="1:846" ht="20.100000000000001" customHeight="1" x14ac:dyDescent="0.25">
      <c r="A52" s="100" t="s">
        <v>21</v>
      </c>
      <c r="B52" s="63" t="str">
        <f>IF(LEN(C89)=0,"",C89)</f>
        <v/>
      </c>
      <c r="C52" s="220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28"/>
      <c r="RS52" s="67"/>
      <c r="RT52" s="67"/>
      <c r="RU52" s="67"/>
      <c r="RV52" s="29"/>
      <c r="RW52" s="131"/>
      <c r="RX52" s="29"/>
      <c r="RY52" s="29"/>
      <c r="RZ52" s="29"/>
      <c r="SA52" s="29"/>
      <c r="SB52" s="29"/>
      <c r="SC52" s="136"/>
      <c r="SD52" s="29"/>
      <c r="SE52" s="29"/>
      <c r="SF52" s="29"/>
      <c r="SG52" s="29"/>
      <c r="SH52" s="29"/>
      <c r="SI52" s="75"/>
      <c r="SJ52" s="29"/>
      <c r="SK52" s="29"/>
      <c r="SL52" s="29"/>
      <c r="SM52" s="29"/>
      <c r="SN52" s="29"/>
      <c r="SO52" s="136"/>
      <c r="SP52" s="29"/>
      <c r="SQ52" s="29"/>
      <c r="SR52" s="29"/>
      <c r="SS52" s="29"/>
      <c r="ST52" s="29"/>
      <c r="SU52" s="75"/>
      <c r="SV52" s="67"/>
      <c r="SW52" s="67"/>
      <c r="SX52" s="67"/>
      <c r="SY52" s="67"/>
      <c r="SZ52" s="29"/>
      <c r="TA52" s="136"/>
      <c r="TB52" s="29"/>
      <c r="TC52" s="29"/>
      <c r="TD52" s="29"/>
      <c r="TE52" s="29"/>
      <c r="TF52" s="37"/>
      <c r="TG52" s="75"/>
      <c r="TH52" s="29"/>
      <c r="TI52" s="29"/>
      <c r="TJ52" s="29"/>
      <c r="TK52" s="29"/>
      <c r="TL52" s="29"/>
      <c r="TM52" s="136"/>
      <c r="TN52" s="29"/>
      <c r="TO52" s="29"/>
      <c r="TP52" s="29"/>
      <c r="TQ52" s="29"/>
      <c r="TR52" s="29"/>
      <c r="TS52" s="75"/>
      <c r="TT52" s="29"/>
      <c r="TU52" s="29"/>
      <c r="TV52" s="29"/>
      <c r="TW52" s="29"/>
      <c r="TX52" s="29"/>
      <c r="TY52" s="30"/>
      <c r="TZ52" s="28"/>
      <c r="UA52" s="67"/>
      <c r="UB52" s="67"/>
      <c r="UC52" s="67"/>
      <c r="UD52" s="29"/>
      <c r="UE52" s="131"/>
      <c r="UF52" s="29"/>
      <c r="UG52" s="29"/>
      <c r="UH52" s="29"/>
      <c r="UI52" s="29"/>
      <c r="UJ52" s="29"/>
      <c r="UK52" s="136"/>
      <c r="UL52" s="29"/>
      <c r="UM52" s="29"/>
      <c r="UN52" s="29"/>
      <c r="UO52" s="29"/>
      <c r="UP52" s="29"/>
      <c r="UQ52" s="75"/>
      <c r="UR52" s="29"/>
      <c r="US52" s="29"/>
      <c r="UT52" s="29"/>
      <c r="UU52" s="29"/>
      <c r="UV52" s="29"/>
      <c r="UW52" s="136"/>
      <c r="UX52" s="29"/>
      <c r="UY52" s="29"/>
      <c r="UZ52" s="29"/>
      <c r="VA52" s="29"/>
      <c r="VB52" s="29"/>
      <c r="VC52" s="75"/>
      <c r="VD52" s="67"/>
      <c r="VE52" s="67"/>
      <c r="VF52" s="67"/>
      <c r="VG52" s="67"/>
      <c r="VH52" s="29"/>
      <c r="VI52" s="136"/>
      <c r="VJ52" s="29"/>
      <c r="VK52" s="29"/>
      <c r="VL52" s="29"/>
      <c r="VM52" s="29"/>
      <c r="VN52" s="37"/>
      <c r="VO52" s="75"/>
      <c r="VP52" s="29"/>
      <c r="VQ52" s="29"/>
      <c r="VR52" s="29"/>
      <c r="VS52" s="29"/>
      <c r="VT52" s="29"/>
      <c r="VU52" s="136"/>
      <c r="VV52" s="29"/>
      <c r="VW52" s="29"/>
      <c r="VX52" s="29"/>
      <c r="VY52" s="29"/>
      <c r="VZ52" s="29"/>
      <c r="WA52" s="75"/>
      <c r="WB52" s="29"/>
      <c r="WC52" s="29"/>
      <c r="WD52" s="29"/>
      <c r="WE52" s="29"/>
      <c r="WF52" s="29"/>
      <c r="WG52" s="30"/>
      <c r="WH52" s="28"/>
      <c r="WI52" s="67"/>
      <c r="WJ52" s="67"/>
      <c r="WK52" s="67"/>
      <c r="WL52" s="29"/>
      <c r="WM52" s="131"/>
      <c r="WN52" s="29"/>
      <c r="WO52" s="29"/>
      <c r="WP52" s="29"/>
      <c r="WQ52" s="29"/>
      <c r="WR52" s="29"/>
      <c r="WS52" s="136"/>
      <c r="WT52" s="29"/>
      <c r="WU52" s="29"/>
      <c r="WV52" s="29"/>
      <c r="WW52" s="29"/>
      <c r="WX52" s="29"/>
      <c r="WY52" s="75"/>
      <c r="WZ52" s="29"/>
      <c r="XA52" s="29"/>
      <c r="XB52" s="29"/>
      <c r="XC52" s="29"/>
      <c r="XD52" s="29"/>
      <c r="XE52" s="136"/>
      <c r="XF52" s="29"/>
      <c r="XG52" s="29"/>
      <c r="XH52" s="29"/>
      <c r="XI52" s="29"/>
      <c r="XJ52" s="29"/>
      <c r="XK52" s="75"/>
      <c r="XL52" s="67"/>
      <c r="XM52" s="67"/>
      <c r="XN52" s="67"/>
      <c r="XO52" s="67"/>
      <c r="XP52" s="29"/>
      <c r="XQ52" s="136"/>
      <c r="XR52" s="29"/>
      <c r="XS52" s="29"/>
      <c r="XT52" s="29"/>
      <c r="XU52" s="29"/>
      <c r="XV52" s="37"/>
      <c r="XW52" s="75"/>
      <c r="XX52" s="29"/>
      <c r="XY52" s="29"/>
      <c r="XZ52" s="29"/>
      <c r="YA52" s="29"/>
      <c r="YB52" s="29"/>
      <c r="YC52" s="136"/>
      <c r="YD52" s="29"/>
      <c r="YE52" s="29"/>
      <c r="YF52" s="29"/>
      <c r="YG52" s="29"/>
      <c r="YH52" s="29"/>
      <c r="YI52" s="75"/>
      <c r="YJ52" s="29"/>
      <c r="YK52" s="29"/>
      <c r="YL52" s="29"/>
      <c r="YM52" s="29"/>
      <c r="YN52" s="29"/>
      <c r="YO52" s="30"/>
      <c r="YP52" s="28"/>
      <c r="YQ52" s="67"/>
      <c r="YR52" s="67"/>
      <c r="YS52" s="67"/>
      <c r="YT52" s="29"/>
      <c r="YU52" s="131"/>
      <c r="YV52" s="29"/>
      <c r="YW52" s="29"/>
      <c r="YX52" s="29"/>
      <c r="YY52" s="29"/>
      <c r="YZ52" s="29"/>
      <c r="ZA52" s="136"/>
      <c r="ZB52" s="29"/>
      <c r="ZC52" s="29"/>
      <c r="ZD52" s="29"/>
      <c r="ZE52" s="29"/>
      <c r="ZF52" s="29"/>
      <c r="ZG52" s="75"/>
      <c r="ZH52" s="29"/>
      <c r="ZI52" s="29"/>
      <c r="ZJ52" s="29"/>
      <c r="ZK52" s="29"/>
      <c r="ZL52" s="29"/>
      <c r="ZM52" s="136"/>
      <c r="ZN52" s="29"/>
      <c r="ZO52" s="29"/>
      <c r="ZP52" s="29"/>
      <c r="ZQ52" s="29"/>
      <c r="ZR52" s="29"/>
      <c r="ZS52" s="75"/>
      <c r="ZT52" s="67"/>
      <c r="ZU52" s="67"/>
      <c r="ZV52" s="67"/>
      <c r="ZW52" s="67"/>
      <c r="ZX52" s="29"/>
      <c r="ZY52" s="136"/>
      <c r="ZZ52" s="29"/>
      <c r="AAA52" s="29"/>
      <c r="AAB52" s="29"/>
      <c r="AAC52" s="29"/>
      <c r="AAD52" s="37"/>
      <c r="AAE52" s="75"/>
      <c r="AAF52" s="29"/>
      <c r="AAG52" s="29"/>
      <c r="AAH52" s="29"/>
      <c r="AAI52" s="29"/>
      <c r="AAJ52" s="29"/>
      <c r="AAK52" s="136"/>
      <c r="AAL52" s="29"/>
      <c r="AAM52" s="29"/>
      <c r="AAN52" s="29"/>
      <c r="AAO52" s="29"/>
      <c r="AAP52" s="29"/>
      <c r="AAQ52" s="75"/>
      <c r="AAR52" s="29"/>
      <c r="AAS52" s="29"/>
      <c r="AAT52" s="29"/>
      <c r="AAU52" s="29"/>
      <c r="AAV52" s="29"/>
      <c r="AAW52" s="30"/>
      <c r="AAX52" s="28"/>
      <c r="AAY52" s="67"/>
      <c r="AAZ52" s="67"/>
      <c r="ABA52" s="67"/>
      <c r="ABB52" s="29"/>
      <c r="ABC52" s="131"/>
      <c r="ABD52" s="29"/>
      <c r="ABE52" s="29"/>
      <c r="ABF52" s="29"/>
      <c r="ABG52" s="29"/>
      <c r="ABH52" s="29"/>
      <c r="ABI52" s="136"/>
      <c r="ABJ52" s="29"/>
      <c r="ABK52" s="29"/>
      <c r="ABL52" s="29"/>
      <c r="ABM52" s="29"/>
      <c r="ABN52" s="29"/>
      <c r="ABO52" s="75"/>
      <c r="ABP52" s="29"/>
      <c r="ABQ52" s="29"/>
      <c r="ABR52" s="29"/>
      <c r="ABS52" s="29"/>
      <c r="ABT52" s="29"/>
      <c r="ABU52" s="136"/>
      <c r="ABV52" s="29"/>
      <c r="ABW52" s="29"/>
      <c r="ABX52" s="29"/>
      <c r="ABY52" s="29"/>
      <c r="ABZ52" s="29"/>
      <c r="ACA52" s="75"/>
      <c r="ACB52" s="67"/>
      <c r="ACC52" s="67"/>
      <c r="ACD52" s="67"/>
      <c r="ACE52" s="67"/>
      <c r="ACF52" s="29"/>
      <c r="ACG52" s="136"/>
      <c r="ACH52" s="29"/>
      <c r="ACI52" s="29"/>
      <c r="ACJ52" s="29"/>
      <c r="ACK52" s="29"/>
      <c r="ACL52" s="37"/>
      <c r="ACM52" s="75"/>
      <c r="ACN52" s="29"/>
      <c r="ACO52" s="29"/>
      <c r="ACP52" s="29"/>
      <c r="ACQ52" s="29"/>
      <c r="ACR52" s="29"/>
      <c r="ACS52" s="136"/>
      <c r="ACT52" s="29"/>
      <c r="ACU52" s="29"/>
      <c r="ACV52" s="29"/>
      <c r="ACW52" s="29"/>
      <c r="ACX52" s="29"/>
      <c r="ACY52" s="75"/>
      <c r="ACZ52" s="29"/>
      <c r="ADA52" s="29"/>
      <c r="ADB52" s="29"/>
      <c r="ADC52" s="29"/>
      <c r="ADD52" s="29"/>
      <c r="ADE52" s="30"/>
      <c r="ADF52" s="28"/>
      <c r="ADG52" s="67"/>
      <c r="ADH52" s="67"/>
      <c r="ADI52" s="67"/>
      <c r="ADJ52" s="29"/>
      <c r="ADK52" s="131"/>
      <c r="ADL52" s="29"/>
      <c r="ADM52" s="29"/>
      <c r="ADN52" s="29"/>
      <c r="ADO52" s="29"/>
      <c r="ADP52" s="29"/>
      <c r="ADQ52" s="136"/>
      <c r="ADR52" s="29"/>
      <c r="ADS52" s="29"/>
      <c r="ADT52" s="29"/>
      <c r="ADU52" s="29"/>
      <c r="ADV52" s="29"/>
      <c r="ADW52" s="75"/>
      <c r="ADX52" s="29"/>
      <c r="ADY52" s="29"/>
      <c r="ADZ52" s="29"/>
      <c r="AEA52" s="29"/>
      <c r="AEB52" s="29"/>
      <c r="AEC52" s="136"/>
      <c r="AED52" s="29"/>
      <c r="AEE52" s="29"/>
      <c r="AEF52" s="29"/>
      <c r="AEG52" s="29"/>
      <c r="AEH52" s="29"/>
      <c r="AEI52" s="75"/>
      <c r="AEJ52" s="67"/>
      <c r="AEK52" s="67"/>
      <c r="AEL52" s="67"/>
      <c r="AEM52" s="67"/>
      <c r="AEN52" s="29"/>
      <c r="AEO52" s="136"/>
      <c r="AEP52" s="29"/>
      <c r="AEQ52" s="29"/>
      <c r="AER52" s="29"/>
      <c r="AES52" s="29"/>
      <c r="AET52" s="37"/>
      <c r="AEU52" s="75"/>
      <c r="AEV52" s="29"/>
      <c r="AEW52" s="29"/>
      <c r="AEX52" s="29"/>
      <c r="AEY52" s="29"/>
      <c r="AEZ52" s="29"/>
      <c r="AFA52" s="136"/>
      <c r="AFB52" s="29"/>
      <c r="AFC52" s="29"/>
      <c r="AFD52" s="29"/>
      <c r="AFE52" s="29"/>
      <c r="AFF52" s="29"/>
      <c r="AFG52" s="75"/>
      <c r="AFH52" s="29"/>
      <c r="AFI52" s="29"/>
      <c r="AFJ52" s="29"/>
      <c r="AFK52" s="29"/>
      <c r="AFL52" s="29"/>
      <c r="AFM52" s="30"/>
      <c r="AFN52" s="90"/>
    </row>
    <row r="53" spans="1:846" ht="20.100000000000001" customHeight="1" x14ac:dyDescent="0.25">
      <c r="A53" s="100" t="s">
        <v>20</v>
      </c>
      <c r="B53" s="63" t="str">
        <f>IF(LEN(C91)=0,"",C91)</f>
        <v/>
      </c>
      <c r="C53" s="218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32"/>
      <c r="RS53" s="64"/>
      <c r="RT53" s="64"/>
      <c r="RU53" s="64"/>
      <c r="RV53" s="33"/>
      <c r="RW53" s="132"/>
      <c r="RX53" s="33"/>
      <c r="RY53" s="33"/>
      <c r="RZ53" s="33"/>
      <c r="SA53" s="33"/>
      <c r="SB53" s="33"/>
      <c r="SC53" s="137"/>
      <c r="SD53" s="33"/>
      <c r="SE53" s="33"/>
      <c r="SF53" s="33"/>
      <c r="SG53" s="33"/>
      <c r="SH53" s="33"/>
      <c r="SI53" s="74"/>
      <c r="SJ53" s="33"/>
      <c r="SK53" s="33"/>
      <c r="SL53" s="33"/>
      <c r="SM53" s="33"/>
      <c r="SN53" s="33"/>
      <c r="SO53" s="137"/>
      <c r="SP53" s="33"/>
      <c r="SQ53" s="33"/>
      <c r="SR53" s="33"/>
      <c r="SS53" s="33"/>
      <c r="ST53" s="33"/>
      <c r="SU53" s="74"/>
      <c r="SV53" s="64"/>
      <c r="SW53" s="64"/>
      <c r="SX53" s="64"/>
      <c r="SY53" s="64"/>
      <c r="SZ53" s="33"/>
      <c r="TA53" s="137"/>
      <c r="TB53" s="33"/>
      <c r="TC53" s="33"/>
      <c r="TD53" s="33"/>
      <c r="TE53" s="33"/>
      <c r="TF53" s="33"/>
      <c r="TG53" s="74"/>
      <c r="TH53" s="33"/>
      <c r="TI53" s="33"/>
      <c r="TJ53" s="33"/>
      <c r="TK53" s="33"/>
      <c r="TL53" s="33"/>
      <c r="TM53" s="137"/>
      <c r="TN53" s="33"/>
      <c r="TO53" s="33"/>
      <c r="TP53" s="33"/>
      <c r="TQ53" s="33"/>
      <c r="TR53" s="33"/>
      <c r="TS53" s="74"/>
      <c r="TT53" s="33"/>
      <c r="TU53" s="33"/>
      <c r="TV53" s="33"/>
      <c r="TW53" s="33"/>
      <c r="TX53" s="33"/>
      <c r="TY53" s="34"/>
      <c r="TZ53" s="32"/>
      <c r="UA53" s="64"/>
      <c r="UB53" s="64"/>
      <c r="UC53" s="64"/>
      <c r="UD53" s="33"/>
      <c r="UE53" s="132"/>
      <c r="UF53" s="33"/>
      <c r="UG53" s="33"/>
      <c r="UH53" s="33"/>
      <c r="UI53" s="33"/>
      <c r="UJ53" s="33"/>
      <c r="UK53" s="137"/>
      <c r="UL53" s="33"/>
      <c r="UM53" s="33"/>
      <c r="UN53" s="33"/>
      <c r="UO53" s="33"/>
      <c r="UP53" s="33"/>
      <c r="UQ53" s="74"/>
      <c r="UR53" s="33"/>
      <c r="US53" s="33"/>
      <c r="UT53" s="33"/>
      <c r="UU53" s="33"/>
      <c r="UV53" s="33"/>
      <c r="UW53" s="137"/>
      <c r="UX53" s="33"/>
      <c r="UY53" s="33"/>
      <c r="UZ53" s="33"/>
      <c r="VA53" s="33"/>
      <c r="VB53" s="33"/>
      <c r="VC53" s="74"/>
      <c r="VD53" s="64"/>
      <c r="VE53" s="64"/>
      <c r="VF53" s="64"/>
      <c r="VG53" s="64"/>
      <c r="VH53" s="33"/>
      <c r="VI53" s="137"/>
      <c r="VJ53" s="33"/>
      <c r="VK53" s="33"/>
      <c r="VL53" s="33"/>
      <c r="VM53" s="33"/>
      <c r="VN53" s="33"/>
      <c r="VO53" s="74"/>
      <c r="VP53" s="33"/>
      <c r="VQ53" s="33"/>
      <c r="VR53" s="33"/>
      <c r="VS53" s="33"/>
      <c r="VT53" s="33"/>
      <c r="VU53" s="137"/>
      <c r="VV53" s="33"/>
      <c r="VW53" s="33"/>
      <c r="VX53" s="33"/>
      <c r="VY53" s="33"/>
      <c r="VZ53" s="33"/>
      <c r="WA53" s="74"/>
      <c r="WB53" s="33"/>
      <c r="WC53" s="33"/>
      <c r="WD53" s="33"/>
      <c r="WE53" s="33"/>
      <c r="WF53" s="33"/>
      <c r="WG53" s="34"/>
      <c r="WH53" s="32"/>
      <c r="WI53" s="64"/>
      <c r="WJ53" s="64"/>
      <c r="WK53" s="64"/>
      <c r="WL53" s="33"/>
      <c r="WM53" s="132"/>
      <c r="WN53" s="33"/>
      <c r="WO53" s="33"/>
      <c r="WP53" s="33"/>
      <c r="WQ53" s="33"/>
      <c r="WR53" s="33"/>
      <c r="WS53" s="137"/>
      <c r="WT53" s="33"/>
      <c r="WU53" s="33"/>
      <c r="WV53" s="33"/>
      <c r="WW53" s="33"/>
      <c r="WX53" s="33"/>
      <c r="WY53" s="74"/>
      <c r="WZ53" s="33"/>
      <c r="XA53" s="33"/>
      <c r="XB53" s="33"/>
      <c r="XC53" s="33"/>
      <c r="XD53" s="33"/>
      <c r="XE53" s="137"/>
      <c r="XF53" s="33"/>
      <c r="XG53" s="33"/>
      <c r="XH53" s="33"/>
      <c r="XI53" s="33"/>
      <c r="XJ53" s="33"/>
      <c r="XK53" s="74"/>
      <c r="XL53" s="64"/>
      <c r="XM53" s="64"/>
      <c r="XN53" s="64"/>
      <c r="XO53" s="64"/>
      <c r="XP53" s="33"/>
      <c r="XQ53" s="137"/>
      <c r="XR53" s="33"/>
      <c r="XS53" s="33"/>
      <c r="XT53" s="33"/>
      <c r="XU53" s="33"/>
      <c r="XV53" s="33"/>
      <c r="XW53" s="74"/>
      <c r="XX53" s="33"/>
      <c r="XY53" s="33"/>
      <c r="XZ53" s="33"/>
      <c r="YA53" s="33"/>
      <c r="YB53" s="33"/>
      <c r="YC53" s="137"/>
      <c r="YD53" s="33"/>
      <c r="YE53" s="33"/>
      <c r="YF53" s="33"/>
      <c r="YG53" s="33"/>
      <c r="YH53" s="33"/>
      <c r="YI53" s="74"/>
      <c r="YJ53" s="33"/>
      <c r="YK53" s="33"/>
      <c r="YL53" s="33"/>
      <c r="YM53" s="33"/>
      <c r="YN53" s="33"/>
      <c r="YO53" s="34"/>
      <c r="YP53" s="32"/>
      <c r="YQ53" s="64"/>
      <c r="YR53" s="64"/>
      <c r="YS53" s="64"/>
      <c r="YT53" s="33"/>
      <c r="YU53" s="132"/>
      <c r="YV53" s="33"/>
      <c r="YW53" s="33"/>
      <c r="YX53" s="33"/>
      <c r="YY53" s="33"/>
      <c r="YZ53" s="33"/>
      <c r="ZA53" s="137"/>
      <c r="ZB53" s="33"/>
      <c r="ZC53" s="33"/>
      <c r="ZD53" s="33"/>
      <c r="ZE53" s="33"/>
      <c r="ZF53" s="33"/>
      <c r="ZG53" s="74"/>
      <c r="ZH53" s="33"/>
      <c r="ZI53" s="33"/>
      <c r="ZJ53" s="33"/>
      <c r="ZK53" s="33"/>
      <c r="ZL53" s="33"/>
      <c r="ZM53" s="137"/>
      <c r="ZN53" s="33"/>
      <c r="ZO53" s="33"/>
      <c r="ZP53" s="33"/>
      <c r="ZQ53" s="33"/>
      <c r="ZR53" s="33"/>
      <c r="ZS53" s="74"/>
      <c r="ZT53" s="64"/>
      <c r="ZU53" s="64"/>
      <c r="ZV53" s="64"/>
      <c r="ZW53" s="64"/>
      <c r="ZX53" s="33"/>
      <c r="ZY53" s="137"/>
      <c r="ZZ53" s="33"/>
      <c r="AAA53" s="33"/>
      <c r="AAB53" s="33"/>
      <c r="AAC53" s="33"/>
      <c r="AAD53" s="33"/>
      <c r="AAE53" s="74"/>
      <c r="AAF53" s="33"/>
      <c r="AAG53" s="33"/>
      <c r="AAH53" s="33"/>
      <c r="AAI53" s="33"/>
      <c r="AAJ53" s="33"/>
      <c r="AAK53" s="137"/>
      <c r="AAL53" s="33"/>
      <c r="AAM53" s="33"/>
      <c r="AAN53" s="33"/>
      <c r="AAO53" s="33"/>
      <c r="AAP53" s="33"/>
      <c r="AAQ53" s="74"/>
      <c r="AAR53" s="33"/>
      <c r="AAS53" s="33"/>
      <c r="AAT53" s="33"/>
      <c r="AAU53" s="33"/>
      <c r="AAV53" s="33"/>
      <c r="AAW53" s="34"/>
      <c r="AAX53" s="32"/>
      <c r="AAY53" s="64"/>
      <c r="AAZ53" s="64"/>
      <c r="ABA53" s="64"/>
      <c r="ABB53" s="33"/>
      <c r="ABC53" s="132"/>
      <c r="ABD53" s="33"/>
      <c r="ABE53" s="33"/>
      <c r="ABF53" s="33"/>
      <c r="ABG53" s="33"/>
      <c r="ABH53" s="33"/>
      <c r="ABI53" s="137"/>
      <c r="ABJ53" s="33"/>
      <c r="ABK53" s="33"/>
      <c r="ABL53" s="33"/>
      <c r="ABM53" s="33"/>
      <c r="ABN53" s="33"/>
      <c r="ABO53" s="74"/>
      <c r="ABP53" s="33"/>
      <c r="ABQ53" s="33"/>
      <c r="ABR53" s="33"/>
      <c r="ABS53" s="33"/>
      <c r="ABT53" s="33"/>
      <c r="ABU53" s="137"/>
      <c r="ABV53" s="33"/>
      <c r="ABW53" s="33"/>
      <c r="ABX53" s="33"/>
      <c r="ABY53" s="33"/>
      <c r="ABZ53" s="33"/>
      <c r="ACA53" s="74"/>
      <c r="ACB53" s="64"/>
      <c r="ACC53" s="64"/>
      <c r="ACD53" s="64"/>
      <c r="ACE53" s="64"/>
      <c r="ACF53" s="33"/>
      <c r="ACG53" s="137"/>
      <c r="ACH53" s="33"/>
      <c r="ACI53" s="33"/>
      <c r="ACJ53" s="33"/>
      <c r="ACK53" s="33"/>
      <c r="ACL53" s="33"/>
      <c r="ACM53" s="74"/>
      <c r="ACN53" s="33"/>
      <c r="ACO53" s="33"/>
      <c r="ACP53" s="33"/>
      <c r="ACQ53" s="33"/>
      <c r="ACR53" s="33"/>
      <c r="ACS53" s="137"/>
      <c r="ACT53" s="33"/>
      <c r="ACU53" s="33"/>
      <c r="ACV53" s="33"/>
      <c r="ACW53" s="33"/>
      <c r="ACX53" s="33"/>
      <c r="ACY53" s="74"/>
      <c r="ACZ53" s="33"/>
      <c r="ADA53" s="33"/>
      <c r="ADB53" s="33"/>
      <c r="ADC53" s="33"/>
      <c r="ADD53" s="33"/>
      <c r="ADE53" s="34"/>
      <c r="ADF53" s="32"/>
      <c r="ADG53" s="64"/>
      <c r="ADH53" s="64"/>
      <c r="ADI53" s="64"/>
      <c r="ADJ53" s="33"/>
      <c r="ADK53" s="132"/>
      <c r="ADL53" s="33"/>
      <c r="ADM53" s="33"/>
      <c r="ADN53" s="33"/>
      <c r="ADO53" s="33"/>
      <c r="ADP53" s="33"/>
      <c r="ADQ53" s="137"/>
      <c r="ADR53" s="33"/>
      <c r="ADS53" s="33"/>
      <c r="ADT53" s="33"/>
      <c r="ADU53" s="33"/>
      <c r="ADV53" s="33"/>
      <c r="ADW53" s="74"/>
      <c r="ADX53" s="33"/>
      <c r="ADY53" s="33"/>
      <c r="ADZ53" s="33"/>
      <c r="AEA53" s="33"/>
      <c r="AEB53" s="33"/>
      <c r="AEC53" s="137"/>
      <c r="AED53" s="33"/>
      <c r="AEE53" s="33"/>
      <c r="AEF53" s="33"/>
      <c r="AEG53" s="33"/>
      <c r="AEH53" s="33"/>
      <c r="AEI53" s="74"/>
      <c r="AEJ53" s="64"/>
      <c r="AEK53" s="64"/>
      <c r="AEL53" s="64"/>
      <c r="AEM53" s="64"/>
      <c r="AEN53" s="33"/>
      <c r="AEO53" s="137"/>
      <c r="AEP53" s="33"/>
      <c r="AEQ53" s="33"/>
      <c r="AER53" s="33"/>
      <c r="AES53" s="33"/>
      <c r="AET53" s="33"/>
      <c r="AEU53" s="74"/>
      <c r="AEV53" s="33"/>
      <c r="AEW53" s="33"/>
      <c r="AEX53" s="33"/>
      <c r="AEY53" s="33"/>
      <c r="AEZ53" s="33"/>
      <c r="AFA53" s="137"/>
      <c r="AFB53" s="33"/>
      <c r="AFC53" s="33"/>
      <c r="AFD53" s="33"/>
      <c r="AFE53" s="33"/>
      <c r="AFF53" s="33"/>
      <c r="AFG53" s="74"/>
      <c r="AFH53" s="33"/>
      <c r="AFI53" s="33"/>
      <c r="AFJ53" s="33"/>
      <c r="AFK53" s="33"/>
      <c r="AFL53" s="33"/>
      <c r="AFM53" s="34"/>
      <c r="AFN53" s="90"/>
    </row>
    <row r="54" spans="1:846" ht="20.100000000000001" customHeight="1" x14ac:dyDescent="0.3">
      <c r="A54" s="100" t="s">
        <v>21</v>
      </c>
      <c r="B54" s="63" t="str">
        <f>IF(LEN(C93)=0,"",C93)</f>
        <v/>
      </c>
      <c r="C54" s="219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36"/>
      <c r="RS54" s="65"/>
      <c r="RT54" s="65"/>
      <c r="RU54" s="65"/>
      <c r="RV54" s="37"/>
      <c r="RW54" s="133"/>
      <c r="RX54" s="37"/>
      <c r="RY54" s="37"/>
      <c r="RZ54" s="37"/>
      <c r="SA54" s="37"/>
      <c r="SB54" s="37"/>
      <c r="SC54" s="138"/>
      <c r="SD54" s="37"/>
      <c r="SE54" s="37"/>
      <c r="SF54" s="37"/>
      <c r="SG54" s="37"/>
      <c r="SH54" s="37"/>
      <c r="SI54" s="75"/>
      <c r="SJ54" s="37"/>
      <c r="SK54" s="37"/>
      <c r="SL54" s="37"/>
      <c r="SM54" s="37"/>
      <c r="SN54" s="37"/>
      <c r="SO54" s="138"/>
      <c r="SP54" s="37"/>
      <c r="SQ54" s="37"/>
      <c r="SR54" s="37"/>
      <c r="SS54" s="37"/>
      <c r="ST54" s="37"/>
      <c r="SU54" s="75"/>
      <c r="SV54" s="65"/>
      <c r="SW54" s="65"/>
      <c r="SX54" s="65"/>
      <c r="SY54" s="65"/>
      <c r="SZ54" s="37"/>
      <c r="TA54" s="138"/>
      <c r="TB54" s="37"/>
      <c r="TC54" s="37"/>
      <c r="TD54" s="37"/>
      <c r="TE54" s="37"/>
      <c r="TF54" s="37"/>
      <c r="TG54" s="75"/>
      <c r="TH54" s="37"/>
      <c r="TI54" s="37"/>
      <c r="TJ54" s="37"/>
      <c r="TK54" s="37"/>
      <c r="TL54" s="37"/>
      <c r="TM54" s="138"/>
      <c r="TN54" s="37"/>
      <c r="TO54" s="37"/>
      <c r="TP54" s="37"/>
      <c r="TQ54" s="37"/>
      <c r="TR54" s="37"/>
      <c r="TS54" s="75"/>
      <c r="TT54" s="37"/>
      <c r="TU54" s="37"/>
      <c r="TV54" s="37"/>
      <c r="TW54" s="37"/>
      <c r="TX54" s="37"/>
      <c r="TY54" s="38"/>
      <c r="TZ54" s="36"/>
      <c r="UA54" s="65"/>
      <c r="UB54" s="65"/>
      <c r="UC54" s="65"/>
      <c r="UD54" s="37"/>
      <c r="UE54" s="133"/>
      <c r="UF54" s="37"/>
      <c r="UG54" s="37"/>
      <c r="UH54" s="37"/>
      <c r="UI54" s="37"/>
      <c r="UJ54" s="37"/>
      <c r="UK54" s="138"/>
      <c r="UL54" s="37"/>
      <c r="UM54" s="37"/>
      <c r="UN54" s="37"/>
      <c r="UO54" s="37"/>
      <c r="UP54" s="37"/>
      <c r="UQ54" s="75"/>
      <c r="UR54" s="37"/>
      <c r="US54" s="37"/>
      <c r="UT54" s="37"/>
      <c r="UU54" s="37"/>
      <c r="UV54" s="37"/>
      <c r="UW54" s="138"/>
      <c r="UX54" s="37"/>
      <c r="UY54" s="37"/>
      <c r="UZ54" s="37"/>
      <c r="VA54" s="37"/>
      <c r="VB54" s="37"/>
      <c r="VC54" s="75"/>
      <c r="VD54" s="65"/>
      <c r="VE54" s="65"/>
      <c r="VF54" s="65"/>
      <c r="VG54" s="65"/>
      <c r="VH54" s="37"/>
      <c r="VI54" s="138"/>
      <c r="VJ54" s="37"/>
      <c r="VK54" s="37"/>
      <c r="VL54" s="37"/>
      <c r="VM54" s="37"/>
      <c r="VN54" s="37"/>
      <c r="VO54" s="75"/>
      <c r="VP54" s="37"/>
      <c r="VQ54" s="37"/>
      <c r="VR54" s="37"/>
      <c r="VS54" s="37"/>
      <c r="VT54" s="37"/>
      <c r="VU54" s="138"/>
      <c r="VV54" s="37"/>
      <c r="VW54" s="37"/>
      <c r="VX54" s="37"/>
      <c r="VY54" s="37"/>
      <c r="VZ54" s="37"/>
      <c r="WA54" s="75"/>
      <c r="WB54" s="37"/>
      <c r="WC54" s="37"/>
      <c r="WD54" s="37"/>
      <c r="WE54" s="37"/>
      <c r="WF54" s="37"/>
      <c r="WG54" s="38"/>
      <c r="WH54" s="36"/>
      <c r="WI54" s="65"/>
      <c r="WJ54" s="65"/>
      <c r="WK54" s="65"/>
      <c r="WL54" s="37"/>
      <c r="WM54" s="133"/>
      <c r="WN54" s="37"/>
      <c r="WO54" s="37"/>
      <c r="WP54" s="37"/>
      <c r="WQ54" s="37"/>
      <c r="WR54" s="37"/>
      <c r="WS54" s="138"/>
      <c r="WT54" s="37"/>
      <c r="WU54" s="37"/>
      <c r="WV54" s="37"/>
      <c r="WW54" s="37"/>
      <c r="WX54" s="37"/>
      <c r="WY54" s="75"/>
      <c r="WZ54" s="37"/>
      <c r="XA54" s="37"/>
      <c r="XB54" s="37"/>
      <c r="XC54" s="37"/>
      <c r="XD54" s="37"/>
      <c r="XE54" s="138"/>
      <c r="XF54" s="37"/>
      <c r="XG54" s="37"/>
      <c r="XH54" s="37"/>
      <c r="XI54" s="37"/>
      <c r="XJ54" s="37"/>
      <c r="XK54" s="75"/>
      <c r="XL54" s="65"/>
      <c r="XM54" s="65"/>
      <c r="XN54" s="65"/>
      <c r="XO54" s="65"/>
      <c r="XP54" s="37"/>
      <c r="XQ54" s="138"/>
      <c r="XR54" s="37"/>
      <c r="XS54" s="37"/>
      <c r="XT54" s="37"/>
      <c r="XU54" s="37"/>
      <c r="XV54" s="37"/>
      <c r="XW54" s="75"/>
      <c r="XX54" s="37"/>
      <c r="XY54" s="37"/>
      <c r="XZ54" s="37"/>
      <c r="YA54" s="37"/>
      <c r="YB54" s="37"/>
      <c r="YC54" s="138"/>
      <c r="YD54" s="37"/>
      <c r="YE54" s="37"/>
      <c r="YF54" s="37"/>
      <c r="YG54" s="37"/>
      <c r="YH54" s="37"/>
      <c r="YI54" s="75"/>
      <c r="YJ54" s="37"/>
      <c r="YK54" s="37"/>
      <c r="YL54" s="37"/>
      <c r="YM54" s="37"/>
      <c r="YN54" s="37"/>
      <c r="YO54" s="38"/>
      <c r="YP54" s="36"/>
      <c r="YQ54" s="65"/>
      <c r="YR54" s="65"/>
      <c r="YS54" s="65"/>
      <c r="YT54" s="37"/>
      <c r="YU54" s="133"/>
      <c r="YV54" s="37"/>
      <c r="YW54" s="37"/>
      <c r="YX54" s="37"/>
      <c r="YY54" s="37"/>
      <c r="YZ54" s="37"/>
      <c r="ZA54" s="138"/>
      <c r="ZB54" s="37"/>
      <c r="ZC54" s="37"/>
      <c r="ZD54" s="37"/>
      <c r="ZE54" s="37"/>
      <c r="ZF54" s="37"/>
      <c r="ZG54" s="75"/>
      <c r="ZH54" s="37"/>
      <c r="ZI54" s="37"/>
      <c r="ZJ54" s="37"/>
      <c r="ZK54" s="37"/>
      <c r="ZL54" s="37"/>
      <c r="ZM54" s="138"/>
      <c r="ZN54" s="37"/>
      <c r="ZO54" s="37"/>
      <c r="ZP54" s="37"/>
      <c r="ZQ54" s="37"/>
      <c r="ZR54" s="37"/>
      <c r="ZS54" s="75"/>
      <c r="ZT54" s="65"/>
      <c r="ZU54" s="65"/>
      <c r="ZV54" s="65"/>
      <c r="ZW54" s="65"/>
      <c r="ZX54" s="37"/>
      <c r="ZY54" s="138"/>
      <c r="ZZ54" s="37"/>
      <c r="AAA54" s="37"/>
      <c r="AAB54" s="37"/>
      <c r="AAC54" s="37"/>
      <c r="AAD54" s="37"/>
      <c r="AAE54" s="75"/>
      <c r="AAF54" s="37"/>
      <c r="AAG54" s="37"/>
      <c r="AAH54" s="37"/>
      <c r="AAI54" s="37"/>
      <c r="AAJ54" s="37"/>
      <c r="AAK54" s="138"/>
      <c r="AAL54" s="37"/>
      <c r="AAM54" s="37"/>
      <c r="AAN54" s="37"/>
      <c r="AAO54" s="37"/>
      <c r="AAP54" s="37"/>
      <c r="AAQ54" s="75"/>
      <c r="AAR54" s="37"/>
      <c r="AAS54" s="37"/>
      <c r="AAT54" s="37"/>
      <c r="AAU54" s="37"/>
      <c r="AAV54" s="37"/>
      <c r="AAW54" s="38"/>
      <c r="AAX54" s="36"/>
      <c r="AAY54" s="65"/>
      <c r="AAZ54" s="65"/>
      <c r="ABA54" s="65"/>
      <c r="ABB54" s="37"/>
      <c r="ABC54" s="133"/>
      <c r="ABD54" s="37"/>
      <c r="ABE54" s="37"/>
      <c r="ABF54" s="37"/>
      <c r="ABG54" s="37"/>
      <c r="ABH54" s="37"/>
      <c r="ABI54" s="138"/>
      <c r="ABJ54" s="37"/>
      <c r="ABK54" s="37"/>
      <c r="ABL54" s="37"/>
      <c r="ABM54" s="37"/>
      <c r="ABN54" s="37"/>
      <c r="ABO54" s="75"/>
      <c r="ABP54" s="37"/>
      <c r="ABQ54" s="37"/>
      <c r="ABR54" s="37"/>
      <c r="ABS54" s="37"/>
      <c r="ABT54" s="37"/>
      <c r="ABU54" s="138"/>
      <c r="ABV54" s="37"/>
      <c r="ABW54" s="37"/>
      <c r="ABX54" s="37"/>
      <c r="ABY54" s="37"/>
      <c r="ABZ54" s="37"/>
      <c r="ACA54" s="75"/>
      <c r="ACB54" s="65"/>
      <c r="ACC54" s="65"/>
      <c r="ACD54" s="65"/>
      <c r="ACE54" s="65"/>
      <c r="ACF54" s="37"/>
      <c r="ACG54" s="138"/>
      <c r="ACH54" s="37"/>
      <c r="ACI54" s="37"/>
      <c r="ACJ54" s="37"/>
      <c r="ACK54" s="37"/>
      <c r="ACL54" s="37"/>
      <c r="ACM54" s="75"/>
      <c r="ACN54" s="37"/>
      <c r="ACO54" s="37"/>
      <c r="ACP54" s="37"/>
      <c r="ACQ54" s="37"/>
      <c r="ACR54" s="37"/>
      <c r="ACS54" s="138"/>
      <c r="ACT54" s="37"/>
      <c r="ACU54" s="37"/>
      <c r="ACV54" s="37"/>
      <c r="ACW54" s="37"/>
      <c r="ACX54" s="37"/>
      <c r="ACY54" s="75"/>
      <c r="ACZ54" s="37"/>
      <c r="ADA54" s="37"/>
      <c r="ADB54" s="37"/>
      <c r="ADC54" s="37"/>
      <c r="ADD54" s="37"/>
      <c r="ADE54" s="38"/>
      <c r="ADF54" s="36"/>
      <c r="ADG54" s="65"/>
      <c r="ADH54" s="65"/>
      <c r="ADI54" s="65"/>
      <c r="ADJ54" s="37"/>
      <c r="ADK54" s="133"/>
      <c r="ADL54" s="37"/>
      <c r="ADM54" s="37"/>
      <c r="ADN54" s="37"/>
      <c r="ADO54" s="37"/>
      <c r="ADP54" s="37"/>
      <c r="ADQ54" s="138"/>
      <c r="ADR54" s="37"/>
      <c r="ADS54" s="37"/>
      <c r="ADT54" s="37"/>
      <c r="ADU54" s="37"/>
      <c r="ADV54" s="37"/>
      <c r="ADW54" s="75"/>
      <c r="ADX54" s="37"/>
      <c r="ADY54" s="37"/>
      <c r="ADZ54" s="37"/>
      <c r="AEA54" s="37"/>
      <c r="AEB54" s="37"/>
      <c r="AEC54" s="138"/>
      <c r="AED54" s="37"/>
      <c r="AEE54" s="37"/>
      <c r="AEF54" s="37"/>
      <c r="AEG54" s="37"/>
      <c r="AEH54" s="37"/>
      <c r="AEI54" s="75"/>
      <c r="AEJ54" s="65"/>
      <c r="AEK54" s="65"/>
      <c r="AEL54" s="65"/>
      <c r="AEM54" s="65"/>
      <c r="AEN54" s="37"/>
      <c r="AEO54" s="138"/>
      <c r="AEP54" s="37"/>
      <c r="AEQ54" s="37"/>
      <c r="AER54" s="37"/>
      <c r="AES54" s="37"/>
      <c r="AET54" s="37"/>
      <c r="AEU54" s="75"/>
      <c r="AEV54" s="37"/>
      <c r="AEW54" s="37"/>
      <c r="AEX54" s="37"/>
      <c r="AEY54" s="37"/>
      <c r="AEZ54" s="37"/>
      <c r="AFA54" s="138"/>
      <c r="AFB54" s="37"/>
      <c r="AFC54" s="37"/>
      <c r="AFD54" s="37"/>
      <c r="AFE54" s="37"/>
      <c r="AFF54" s="37"/>
      <c r="AFG54" s="75"/>
      <c r="AFH54" s="37"/>
      <c r="AFI54" s="37"/>
      <c r="AFJ54" s="37"/>
      <c r="AFK54" s="37"/>
      <c r="AFL54" s="37"/>
      <c r="AFM54" s="38"/>
      <c r="AFN54" s="90"/>
    </row>
    <row r="55" spans="1:846" ht="20.100000000000001" customHeight="1" x14ac:dyDescent="0.25">
      <c r="A55" s="100" t="s">
        <v>20</v>
      </c>
      <c r="B55" s="63"/>
      <c r="C55" s="218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40"/>
      <c r="RS55" s="66"/>
      <c r="RT55" s="66"/>
      <c r="RU55" s="66"/>
      <c r="RV55" s="41"/>
      <c r="RW55" s="134"/>
      <c r="RX55" s="41"/>
      <c r="RY55" s="41"/>
      <c r="RZ55" s="41"/>
      <c r="SA55" s="41"/>
      <c r="SB55" s="41"/>
      <c r="SC55" s="139"/>
      <c r="SD55" s="41"/>
      <c r="SE55" s="41"/>
      <c r="SF55" s="41"/>
      <c r="SG55" s="41"/>
      <c r="SH55" s="41"/>
      <c r="SI55" s="76"/>
      <c r="SJ55" s="41"/>
      <c r="SK55" s="41"/>
      <c r="SL55" s="41"/>
      <c r="SM55" s="41"/>
      <c r="SN55" s="41"/>
      <c r="SO55" s="139"/>
      <c r="SP55" s="41"/>
      <c r="SQ55" s="41"/>
      <c r="SR55" s="41"/>
      <c r="SS55" s="41"/>
      <c r="ST55" s="41"/>
      <c r="SU55" s="76"/>
      <c r="SV55" s="66"/>
      <c r="SW55" s="66"/>
      <c r="SX55" s="66"/>
      <c r="SY55" s="66"/>
      <c r="SZ55" s="41"/>
      <c r="TA55" s="139"/>
      <c r="TB55" s="41"/>
      <c r="TC55" s="41"/>
      <c r="TD55" s="41"/>
      <c r="TE55" s="41"/>
      <c r="TF55" s="41"/>
      <c r="TG55" s="76"/>
      <c r="TH55" s="41"/>
      <c r="TI55" s="41"/>
      <c r="TJ55" s="41"/>
      <c r="TK55" s="41"/>
      <c r="TL55" s="41"/>
      <c r="TM55" s="139"/>
      <c r="TN55" s="41"/>
      <c r="TO55" s="41"/>
      <c r="TP55" s="41"/>
      <c r="TQ55" s="41"/>
      <c r="TR55" s="41"/>
      <c r="TS55" s="76"/>
      <c r="TT55" s="41"/>
      <c r="TU55" s="41"/>
      <c r="TV55" s="41"/>
      <c r="TW55" s="41"/>
      <c r="TX55" s="41"/>
      <c r="TY55" s="42"/>
      <c r="TZ55" s="40"/>
      <c r="UA55" s="66"/>
      <c r="UB55" s="66"/>
      <c r="UC55" s="66"/>
      <c r="UD55" s="41"/>
      <c r="UE55" s="134"/>
      <c r="UF55" s="41"/>
      <c r="UG55" s="41"/>
      <c r="UH55" s="41"/>
      <c r="UI55" s="41"/>
      <c r="UJ55" s="41"/>
      <c r="UK55" s="139"/>
      <c r="UL55" s="41"/>
      <c r="UM55" s="41"/>
      <c r="UN55" s="41"/>
      <c r="UO55" s="41"/>
      <c r="UP55" s="41"/>
      <c r="UQ55" s="76"/>
      <c r="UR55" s="41"/>
      <c r="US55" s="41"/>
      <c r="UT55" s="41"/>
      <c r="UU55" s="41"/>
      <c r="UV55" s="41"/>
      <c r="UW55" s="139"/>
      <c r="UX55" s="41"/>
      <c r="UY55" s="41"/>
      <c r="UZ55" s="41"/>
      <c r="VA55" s="41"/>
      <c r="VB55" s="41"/>
      <c r="VC55" s="76"/>
      <c r="VD55" s="66"/>
      <c r="VE55" s="66"/>
      <c r="VF55" s="66"/>
      <c r="VG55" s="66"/>
      <c r="VH55" s="41"/>
      <c r="VI55" s="139"/>
      <c r="VJ55" s="41"/>
      <c r="VK55" s="41"/>
      <c r="VL55" s="41"/>
      <c r="VM55" s="41"/>
      <c r="VN55" s="41"/>
      <c r="VO55" s="76"/>
      <c r="VP55" s="41"/>
      <c r="VQ55" s="41"/>
      <c r="VR55" s="41"/>
      <c r="VS55" s="41"/>
      <c r="VT55" s="41"/>
      <c r="VU55" s="139"/>
      <c r="VV55" s="41"/>
      <c r="VW55" s="41"/>
      <c r="VX55" s="41"/>
      <c r="VY55" s="41"/>
      <c r="VZ55" s="41"/>
      <c r="WA55" s="76"/>
      <c r="WB55" s="41"/>
      <c r="WC55" s="41"/>
      <c r="WD55" s="41"/>
      <c r="WE55" s="41"/>
      <c r="WF55" s="41"/>
      <c r="WG55" s="42"/>
      <c r="WH55" s="40"/>
      <c r="WI55" s="66"/>
      <c r="WJ55" s="66"/>
      <c r="WK55" s="66"/>
      <c r="WL55" s="41"/>
      <c r="WM55" s="134"/>
      <c r="WN55" s="41"/>
      <c r="WO55" s="41"/>
      <c r="WP55" s="41"/>
      <c r="WQ55" s="41"/>
      <c r="WR55" s="41"/>
      <c r="WS55" s="139"/>
      <c r="WT55" s="41"/>
      <c r="WU55" s="41"/>
      <c r="WV55" s="41"/>
      <c r="WW55" s="41"/>
      <c r="WX55" s="41"/>
      <c r="WY55" s="76"/>
      <c r="WZ55" s="41"/>
      <c r="XA55" s="41"/>
      <c r="XB55" s="41"/>
      <c r="XC55" s="41"/>
      <c r="XD55" s="41"/>
      <c r="XE55" s="139"/>
      <c r="XF55" s="41"/>
      <c r="XG55" s="41"/>
      <c r="XH55" s="41"/>
      <c r="XI55" s="41"/>
      <c r="XJ55" s="41"/>
      <c r="XK55" s="76"/>
      <c r="XL55" s="66"/>
      <c r="XM55" s="66"/>
      <c r="XN55" s="66"/>
      <c r="XO55" s="66"/>
      <c r="XP55" s="41"/>
      <c r="XQ55" s="139"/>
      <c r="XR55" s="41"/>
      <c r="XS55" s="41"/>
      <c r="XT55" s="41"/>
      <c r="XU55" s="41"/>
      <c r="XV55" s="41"/>
      <c r="XW55" s="76"/>
      <c r="XX55" s="41"/>
      <c r="XY55" s="41"/>
      <c r="XZ55" s="41"/>
      <c r="YA55" s="41"/>
      <c r="YB55" s="41"/>
      <c r="YC55" s="139"/>
      <c r="YD55" s="41"/>
      <c r="YE55" s="41"/>
      <c r="YF55" s="41"/>
      <c r="YG55" s="41"/>
      <c r="YH55" s="41"/>
      <c r="YI55" s="76"/>
      <c r="YJ55" s="41"/>
      <c r="YK55" s="41"/>
      <c r="YL55" s="41"/>
      <c r="YM55" s="41"/>
      <c r="YN55" s="41"/>
      <c r="YO55" s="42"/>
      <c r="YP55" s="40"/>
      <c r="YQ55" s="66"/>
      <c r="YR55" s="66"/>
      <c r="YS55" s="66"/>
      <c r="YT55" s="41"/>
      <c r="YU55" s="134"/>
      <c r="YV55" s="41"/>
      <c r="YW55" s="41"/>
      <c r="YX55" s="41"/>
      <c r="YY55" s="41"/>
      <c r="YZ55" s="41"/>
      <c r="ZA55" s="139"/>
      <c r="ZB55" s="41"/>
      <c r="ZC55" s="41"/>
      <c r="ZD55" s="41"/>
      <c r="ZE55" s="41"/>
      <c r="ZF55" s="41"/>
      <c r="ZG55" s="76"/>
      <c r="ZH55" s="41"/>
      <c r="ZI55" s="41"/>
      <c r="ZJ55" s="41"/>
      <c r="ZK55" s="41"/>
      <c r="ZL55" s="41"/>
      <c r="ZM55" s="139"/>
      <c r="ZN55" s="41"/>
      <c r="ZO55" s="41"/>
      <c r="ZP55" s="41"/>
      <c r="ZQ55" s="41"/>
      <c r="ZR55" s="41"/>
      <c r="ZS55" s="76"/>
      <c r="ZT55" s="66"/>
      <c r="ZU55" s="66"/>
      <c r="ZV55" s="66"/>
      <c r="ZW55" s="66"/>
      <c r="ZX55" s="41"/>
      <c r="ZY55" s="139"/>
      <c r="ZZ55" s="41"/>
      <c r="AAA55" s="41"/>
      <c r="AAB55" s="41"/>
      <c r="AAC55" s="41"/>
      <c r="AAD55" s="41"/>
      <c r="AAE55" s="76"/>
      <c r="AAF55" s="41"/>
      <c r="AAG55" s="41"/>
      <c r="AAH55" s="41"/>
      <c r="AAI55" s="41"/>
      <c r="AAJ55" s="41"/>
      <c r="AAK55" s="139"/>
      <c r="AAL55" s="41"/>
      <c r="AAM55" s="41"/>
      <c r="AAN55" s="41"/>
      <c r="AAO55" s="41"/>
      <c r="AAP55" s="41"/>
      <c r="AAQ55" s="76"/>
      <c r="AAR55" s="41"/>
      <c r="AAS55" s="41"/>
      <c r="AAT55" s="41"/>
      <c r="AAU55" s="41"/>
      <c r="AAV55" s="41"/>
      <c r="AAW55" s="42"/>
      <c r="AAX55" s="40"/>
      <c r="AAY55" s="66"/>
      <c r="AAZ55" s="66"/>
      <c r="ABA55" s="66"/>
      <c r="ABB55" s="41"/>
      <c r="ABC55" s="134"/>
      <c r="ABD55" s="41"/>
      <c r="ABE55" s="41"/>
      <c r="ABF55" s="41"/>
      <c r="ABG55" s="41"/>
      <c r="ABH55" s="41"/>
      <c r="ABI55" s="139"/>
      <c r="ABJ55" s="41"/>
      <c r="ABK55" s="41"/>
      <c r="ABL55" s="41"/>
      <c r="ABM55" s="41"/>
      <c r="ABN55" s="41"/>
      <c r="ABO55" s="76"/>
      <c r="ABP55" s="41"/>
      <c r="ABQ55" s="41"/>
      <c r="ABR55" s="41"/>
      <c r="ABS55" s="41"/>
      <c r="ABT55" s="41"/>
      <c r="ABU55" s="139"/>
      <c r="ABV55" s="41"/>
      <c r="ABW55" s="41"/>
      <c r="ABX55" s="41"/>
      <c r="ABY55" s="41"/>
      <c r="ABZ55" s="41"/>
      <c r="ACA55" s="76"/>
      <c r="ACB55" s="66"/>
      <c r="ACC55" s="66"/>
      <c r="ACD55" s="66"/>
      <c r="ACE55" s="66"/>
      <c r="ACF55" s="41"/>
      <c r="ACG55" s="139"/>
      <c r="ACH55" s="41"/>
      <c r="ACI55" s="41"/>
      <c r="ACJ55" s="41"/>
      <c r="ACK55" s="41"/>
      <c r="ACL55" s="41"/>
      <c r="ACM55" s="76"/>
      <c r="ACN55" s="41"/>
      <c r="ACO55" s="41"/>
      <c r="ACP55" s="41"/>
      <c r="ACQ55" s="41"/>
      <c r="ACR55" s="41"/>
      <c r="ACS55" s="139"/>
      <c r="ACT55" s="41"/>
      <c r="ACU55" s="41"/>
      <c r="ACV55" s="41"/>
      <c r="ACW55" s="41"/>
      <c r="ACX55" s="41"/>
      <c r="ACY55" s="76"/>
      <c r="ACZ55" s="41"/>
      <c r="ADA55" s="41"/>
      <c r="ADB55" s="41"/>
      <c r="ADC55" s="41"/>
      <c r="ADD55" s="41"/>
      <c r="ADE55" s="42"/>
      <c r="ADF55" s="40"/>
      <c r="ADG55" s="66"/>
      <c r="ADH55" s="66"/>
      <c r="ADI55" s="66"/>
      <c r="ADJ55" s="41"/>
      <c r="ADK55" s="134"/>
      <c r="ADL55" s="41"/>
      <c r="ADM55" s="41"/>
      <c r="ADN55" s="41"/>
      <c r="ADO55" s="41"/>
      <c r="ADP55" s="41"/>
      <c r="ADQ55" s="139"/>
      <c r="ADR55" s="41"/>
      <c r="ADS55" s="41"/>
      <c r="ADT55" s="41"/>
      <c r="ADU55" s="41"/>
      <c r="ADV55" s="41"/>
      <c r="ADW55" s="76"/>
      <c r="ADX55" s="41"/>
      <c r="ADY55" s="41"/>
      <c r="ADZ55" s="41"/>
      <c r="AEA55" s="41"/>
      <c r="AEB55" s="41"/>
      <c r="AEC55" s="139"/>
      <c r="AED55" s="41"/>
      <c r="AEE55" s="41"/>
      <c r="AEF55" s="41"/>
      <c r="AEG55" s="41"/>
      <c r="AEH55" s="41"/>
      <c r="AEI55" s="76"/>
      <c r="AEJ55" s="66"/>
      <c r="AEK55" s="66"/>
      <c r="AEL55" s="66"/>
      <c r="AEM55" s="66"/>
      <c r="AEN55" s="41"/>
      <c r="AEO55" s="139"/>
      <c r="AEP55" s="41"/>
      <c r="AEQ55" s="41"/>
      <c r="AER55" s="41"/>
      <c r="AES55" s="41"/>
      <c r="AET55" s="41"/>
      <c r="AEU55" s="76"/>
      <c r="AEV55" s="41"/>
      <c r="AEW55" s="41"/>
      <c r="AEX55" s="41"/>
      <c r="AEY55" s="41"/>
      <c r="AEZ55" s="41"/>
      <c r="AFA55" s="139"/>
      <c r="AFB55" s="41"/>
      <c r="AFC55" s="41"/>
      <c r="AFD55" s="41"/>
      <c r="AFE55" s="41"/>
      <c r="AFF55" s="41"/>
      <c r="AFG55" s="76"/>
      <c r="AFH55" s="41"/>
      <c r="AFI55" s="41"/>
      <c r="AFJ55" s="41"/>
      <c r="AFK55" s="41"/>
      <c r="AFL55" s="41"/>
      <c r="AFM55" s="42"/>
      <c r="AFN55" s="90"/>
    </row>
    <row r="56" spans="1:846" ht="20.100000000000001" customHeight="1" x14ac:dyDescent="0.25">
      <c r="A56" s="100" t="s">
        <v>21</v>
      </c>
      <c r="B56" s="63"/>
      <c r="C56" s="220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28"/>
      <c r="RS56" s="67"/>
      <c r="RT56" s="67"/>
      <c r="RU56" s="67"/>
      <c r="RV56" s="29"/>
      <c r="RW56" s="131"/>
      <c r="RX56" s="29"/>
      <c r="RY56" s="29"/>
      <c r="RZ56" s="29"/>
      <c r="SA56" s="29"/>
      <c r="SB56" s="29"/>
      <c r="SC56" s="136"/>
      <c r="SD56" s="29"/>
      <c r="SE56" s="29"/>
      <c r="SF56" s="29"/>
      <c r="SG56" s="29"/>
      <c r="SH56" s="29"/>
      <c r="SI56" s="73"/>
      <c r="SJ56" s="29"/>
      <c r="SK56" s="29"/>
      <c r="SL56" s="29"/>
      <c r="SM56" s="29"/>
      <c r="SN56" s="29"/>
      <c r="SO56" s="136"/>
      <c r="SP56" s="29"/>
      <c r="SQ56" s="29"/>
      <c r="SR56" s="29"/>
      <c r="SS56" s="29"/>
      <c r="ST56" s="29"/>
      <c r="SU56" s="73"/>
      <c r="SV56" s="67"/>
      <c r="SW56" s="67"/>
      <c r="SX56" s="67"/>
      <c r="SY56" s="67"/>
      <c r="SZ56" s="29"/>
      <c r="TA56" s="136"/>
      <c r="TB56" s="29"/>
      <c r="TC56" s="29"/>
      <c r="TD56" s="29"/>
      <c r="TE56" s="29"/>
      <c r="TF56" s="29"/>
      <c r="TG56" s="73"/>
      <c r="TH56" s="29"/>
      <c r="TI56" s="29"/>
      <c r="TJ56" s="29"/>
      <c r="TK56" s="29"/>
      <c r="TL56" s="29"/>
      <c r="TM56" s="136"/>
      <c r="TN56" s="29"/>
      <c r="TO56" s="29"/>
      <c r="TP56" s="29"/>
      <c r="TQ56" s="29"/>
      <c r="TR56" s="29"/>
      <c r="TS56" s="73"/>
      <c r="TT56" s="29"/>
      <c r="TU56" s="29"/>
      <c r="TV56" s="29"/>
      <c r="TW56" s="29"/>
      <c r="TX56" s="29"/>
      <c r="TY56" s="30"/>
      <c r="TZ56" s="28"/>
      <c r="UA56" s="67"/>
      <c r="UB56" s="67"/>
      <c r="UC56" s="67"/>
      <c r="UD56" s="29"/>
      <c r="UE56" s="131"/>
      <c r="UF56" s="29"/>
      <c r="UG56" s="29"/>
      <c r="UH56" s="29"/>
      <c r="UI56" s="29"/>
      <c r="UJ56" s="29"/>
      <c r="UK56" s="136"/>
      <c r="UL56" s="29"/>
      <c r="UM56" s="29"/>
      <c r="UN56" s="29"/>
      <c r="UO56" s="29"/>
      <c r="UP56" s="29"/>
      <c r="UQ56" s="73"/>
      <c r="UR56" s="29"/>
      <c r="US56" s="29"/>
      <c r="UT56" s="29"/>
      <c r="UU56" s="29"/>
      <c r="UV56" s="29"/>
      <c r="UW56" s="136"/>
      <c r="UX56" s="29"/>
      <c r="UY56" s="29"/>
      <c r="UZ56" s="29"/>
      <c r="VA56" s="29"/>
      <c r="VB56" s="29"/>
      <c r="VC56" s="73"/>
      <c r="VD56" s="67"/>
      <c r="VE56" s="67"/>
      <c r="VF56" s="67"/>
      <c r="VG56" s="67"/>
      <c r="VH56" s="29"/>
      <c r="VI56" s="136"/>
      <c r="VJ56" s="29"/>
      <c r="VK56" s="29"/>
      <c r="VL56" s="29"/>
      <c r="VM56" s="29"/>
      <c r="VN56" s="29"/>
      <c r="VO56" s="73"/>
      <c r="VP56" s="29"/>
      <c r="VQ56" s="29"/>
      <c r="VR56" s="29"/>
      <c r="VS56" s="29"/>
      <c r="VT56" s="29"/>
      <c r="VU56" s="136"/>
      <c r="VV56" s="29"/>
      <c r="VW56" s="29"/>
      <c r="VX56" s="29"/>
      <c r="VY56" s="29"/>
      <c r="VZ56" s="29"/>
      <c r="WA56" s="73"/>
      <c r="WB56" s="29"/>
      <c r="WC56" s="29"/>
      <c r="WD56" s="29"/>
      <c r="WE56" s="29"/>
      <c r="WF56" s="29"/>
      <c r="WG56" s="30"/>
      <c r="WH56" s="28"/>
      <c r="WI56" s="67"/>
      <c r="WJ56" s="67"/>
      <c r="WK56" s="67"/>
      <c r="WL56" s="29"/>
      <c r="WM56" s="131"/>
      <c r="WN56" s="29"/>
      <c r="WO56" s="29"/>
      <c r="WP56" s="29"/>
      <c r="WQ56" s="29"/>
      <c r="WR56" s="29"/>
      <c r="WS56" s="136"/>
      <c r="WT56" s="29"/>
      <c r="WU56" s="29"/>
      <c r="WV56" s="29"/>
      <c r="WW56" s="29"/>
      <c r="WX56" s="29"/>
      <c r="WY56" s="73"/>
      <c r="WZ56" s="29"/>
      <c r="XA56" s="29"/>
      <c r="XB56" s="29"/>
      <c r="XC56" s="29"/>
      <c r="XD56" s="29"/>
      <c r="XE56" s="136"/>
      <c r="XF56" s="29"/>
      <c r="XG56" s="29"/>
      <c r="XH56" s="29"/>
      <c r="XI56" s="29"/>
      <c r="XJ56" s="29"/>
      <c r="XK56" s="73"/>
      <c r="XL56" s="67"/>
      <c r="XM56" s="67"/>
      <c r="XN56" s="67"/>
      <c r="XO56" s="67"/>
      <c r="XP56" s="29"/>
      <c r="XQ56" s="136"/>
      <c r="XR56" s="29"/>
      <c r="XS56" s="29"/>
      <c r="XT56" s="29"/>
      <c r="XU56" s="29"/>
      <c r="XV56" s="29"/>
      <c r="XW56" s="73"/>
      <c r="XX56" s="29"/>
      <c r="XY56" s="29"/>
      <c r="XZ56" s="29"/>
      <c r="YA56" s="29"/>
      <c r="YB56" s="29"/>
      <c r="YC56" s="136"/>
      <c r="YD56" s="29"/>
      <c r="YE56" s="29"/>
      <c r="YF56" s="29"/>
      <c r="YG56" s="29"/>
      <c r="YH56" s="29"/>
      <c r="YI56" s="73"/>
      <c r="YJ56" s="29"/>
      <c r="YK56" s="29"/>
      <c r="YL56" s="29"/>
      <c r="YM56" s="29"/>
      <c r="YN56" s="29"/>
      <c r="YO56" s="30"/>
      <c r="YP56" s="28"/>
      <c r="YQ56" s="67"/>
      <c r="YR56" s="67"/>
      <c r="YS56" s="67"/>
      <c r="YT56" s="29"/>
      <c r="YU56" s="131"/>
      <c r="YV56" s="29"/>
      <c r="YW56" s="29"/>
      <c r="YX56" s="29"/>
      <c r="YY56" s="29"/>
      <c r="YZ56" s="29"/>
      <c r="ZA56" s="136"/>
      <c r="ZB56" s="29"/>
      <c r="ZC56" s="29"/>
      <c r="ZD56" s="29"/>
      <c r="ZE56" s="29"/>
      <c r="ZF56" s="29"/>
      <c r="ZG56" s="73"/>
      <c r="ZH56" s="29"/>
      <c r="ZI56" s="29"/>
      <c r="ZJ56" s="29"/>
      <c r="ZK56" s="29"/>
      <c r="ZL56" s="29"/>
      <c r="ZM56" s="136"/>
      <c r="ZN56" s="29"/>
      <c r="ZO56" s="29"/>
      <c r="ZP56" s="29"/>
      <c r="ZQ56" s="29"/>
      <c r="ZR56" s="29"/>
      <c r="ZS56" s="73"/>
      <c r="ZT56" s="67"/>
      <c r="ZU56" s="67"/>
      <c r="ZV56" s="67"/>
      <c r="ZW56" s="67"/>
      <c r="ZX56" s="29"/>
      <c r="ZY56" s="136"/>
      <c r="ZZ56" s="29"/>
      <c r="AAA56" s="29"/>
      <c r="AAB56" s="29"/>
      <c r="AAC56" s="29"/>
      <c r="AAD56" s="29"/>
      <c r="AAE56" s="73"/>
      <c r="AAF56" s="29"/>
      <c r="AAG56" s="29"/>
      <c r="AAH56" s="29"/>
      <c r="AAI56" s="29"/>
      <c r="AAJ56" s="29"/>
      <c r="AAK56" s="136"/>
      <c r="AAL56" s="29"/>
      <c r="AAM56" s="29"/>
      <c r="AAN56" s="29"/>
      <c r="AAO56" s="29"/>
      <c r="AAP56" s="29"/>
      <c r="AAQ56" s="73"/>
      <c r="AAR56" s="29"/>
      <c r="AAS56" s="29"/>
      <c r="AAT56" s="29"/>
      <c r="AAU56" s="29"/>
      <c r="AAV56" s="29"/>
      <c r="AAW56" s="30"/>
      <c r="AAX56" s="28"/>
      <c r="AAY56" s="67"/>
      <c r="AAZ56" s="67"/>
      <c r="ABA56" s="67"/>
      <c r="ABB56" s="29"/>
      <c r="ABC56" s="131"/>
      <c r="ABD56" s="29"/>
      <c r="ABE56" s="29"/>
      <c r="ABF56" s="29"/>
      <c r="ABG56" s="29"/>
      <c r="ABH56" s="29"/>
      <c r="ABI56" s="136"/>
      <c r="ABJ56" s="29"/>
      <c r="ABK56" s="29"/>
      <c r="ABL56" s="29"/>
      <c r="ABM56" s="29"/>
      <c r="ABN56" s="29"/>
      <c r="ABO56" s="73"/>
      <c r="ABP56" s="29"/>
      <c r="ABQ56" s="29"/>
      <c r="ABR56" s="29"/>
      <c r="ABS56" s="29"/>
      <c r="ABT56" s="29"/>
      <c r="ABU56" s="136"/>
      <c r="ABV56" s="29"/>
      <c r="ABW56" s="29"/>
      <c r="ABX56" s="29"/>
      <c r="ABY56" s="29"/>
      <c r="ABZ56" s="29"/>
      <c r="ACA56" s="73"/>
      <c r="ACB56" s="67"/>
      <c r="ACC56" s="67"/>
      <c r="ACD56" s="67"/>
      <c r="ACE56" s="67"/>
      <c r="ACF56" s="29"/>
      <c r="ACG56" s="136"/>
      <c r="ACH56" s="29"/>
      <c r="ACI56" s="29"/>
      <c r="ACJ56" s="29"/>
      <c r="ACK56" s="29"/>
      <c r="ACL56" s="29"/>
      <c r="ACM56" s="73"/>
      <c r="ACN56" s="29"/>
      <c r="ACO56" s="29"/>
      <c r="ACP56" s="29"/>
      <c r="ACQ56" s="29"/>
      <c r="ACR56" s="29"/>
      <c r="ACS56" s="136"/>
      <c r="ACT56" s="29"/>
      <c r="ACU56" s="29"/>
      <c r="ACV56" s="29"/>
      <c r="ACW56" s="29"/>
      <c r="ACX56" s="29"/>
      <c r="ACY56" s="73"/>
      <c r="ACZ56" s="29"/>
      <c r="ADA56" s="29"/>
      <c r="ADB56" s="29"/>
      <c r="ADC56" s="29"/>
      <c r="ADD56" s="29"/>
      <c r="ADE56" s="30"/>
      <c r="ADF56" s="28"/>
      <c r="ADG56" s="67"/>
      <c r="ADH56" s="67"/>
      <c r="ADI56" s="67"/>
      <c r="ADJ56" s="29"/>
      <c r="ADK56" s="131"/>
      <c r="ADL56" s="29"/>
      <c r="ADM56" s="29"/>
      <c r="ADN56" s="29"/>
      <c r="ADO56" s="29"/>
      <c r="ADP56" s="29"/>
      <c r="ADQ56" s="136"/>
      <c r="ADR56" s="29"/>
      <c r="ADS56" s="29"/>
      <c r="ADT56" s="29"/>
      <c r="ADU56" s="29"/>
      <c r="ADV56" s="29"/>
      <c r="ADW56" s="73"/>
      <c r="ADX56" s="29"/>
      <c r="ADY56" s="29"/>
      <c r="ADZ56" s="29"/>
      <c r="AEA56" s="29"/>
      <c r="AEB56" s="29"/>
      <c r="AEC56" s="136"/>
      <c r="AED56" s="29"/>
      <c r="AEE56" s="29"/>
      <c r="AEF56" s="29"/>
      <c r="AEG56" s="29"/>
      <c r="AEH56" s="29"/>
      <c r="AEI56" s="73"/>
      <c r="AEJ56" s="67"/>
      <c r="AEK56" s="67"/>
      <c r="AEL56" s="67"/>
      <c r="AEM56" s="67"/>
      <c r="AEN56" s="29"/>
      <c r="AEO56" s="136"/>
      <c r="AEP56" s="29"/>
      <c r="AEQ56" s="29"/>
      <c r="AER56" s="29"/>
      <c r="AES56" s="29"/>
      <c r="AET56" s="29"/>
      <c r="AEU56" s="73"/>
      <c r="AEV56" s="29"/>
      <c r="AEW56" s="29"/>
      <c r="AEX56" s="29"/>
      <c r="AEY56" s="29"/>
      <c r="AEZ56" s="29"/>
      <c r="AFA56" s="136"/>
      <c r="AFB56" s="29"/>
      <c r="AFC56" s="29"/>
      <c r="AFD56" s="29"/>
      <c r="AFE56" s="29"/>
      <c r="AFF56" s="29"/>
      <c r="AFG56" s="73"/>
      <c r="AFH56" s="29"/>
      <c r="AFI56" s="29"/>
      <c r="AFJ56" s="29"/>
      <c r="AFK56" s="29"/>
      <c r="AFL56" s="29"/>
      <c r="AFM56" s="30"/>
      <c r="AFN56" s="90"/>
    </row>
    <row r="57" spans="1:846" ht="20.100000000000001" customHeight="1" x14ac:dyDescent="0.25">
      <c r="A57" s="100" t="s">
        <v>20</v>
      </c>
      <c r="B57" s="63"/>
      <c r="C57" s="218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32"/>
      <c r="RS57" s="64"/>
      <c r="RT57" s="64"/>
      <c r="RU57" s="64"/>
      <c r="RV57" s="33"/>
      <c r="RW57" s="132"/>
      <c r="RX57" s="33"/>
      <c r="RY57" s="33"/>
      <c r="RZ57" s="33"/>
      <c r="SA57" s="33"/>
      <c r="SB57" s="33"/>
      <c r="SC57" s="137"/>
      <c r="SD57" s="33"/>
      <c r="SE57" s="33"/>
      <c r="SF57" s="33"/>
      <c r="SG57" s="33"/>
      <c r="SH57" s="33"/>
      <c r="SI57" s="74"/>
      <c r="SJ57" s="33"/>
      <c r="SK57" s="33"/>
      <c r="SL57" s="33"/>
      <c r="SM57" s="33"/>
      <c r="SN57" s="33"/>
      <c r="SO57" s="137"/>
      <c r="SP57" s="33"/>
      <c r="SQ57" s="33"/>
      <c r="SR57" s="33"/>
      <c r="SS57" s="33"/>
      <c r="ST57" s="33"/>
      <c r="SU57" s="74"/>
      <c r="SV57" s="64"/>
      <c r="SW57" s="64"/>
      <c r="SX57" s="64"/>
      <c r="SY57" s="64"/>
      <c r="SZ57" s="33"/>
      <c r="TA57" s="137"/>
      <c r="TB57" s="33"/>
      <c r="TC57" s="33"/>
      <c r="TD57" s="33"/>
      <c r="TE57" s="33"/>
      <c r="TF57" s="33"/>
      <c r="TG57" s="74"/>
      <c r="TH57" s="33"/>
      <c r="TI57" s="33"/>
      <c r="TJ57" s="33"/>
      <c r="TK57" s="33"/>
      <c r="TL57" s="33"/>
      <c r="TM57" s="137"/>
      <c r="TN57" s="33"/>
      <c r="TO57" s="33"/>
      <c r="TP57" s="33"/>
      <c r="TQ57" s="33"/>
      <c r="TR57" s="33"/>
      <c r="TS57" s="74"/>
      <c r="TT57" s="33"/>
      <c r="TU57" s="33"/>
      <c r="TV57" s="33"/>
      <c r="TW57" s="33"/>
      <c r="TX57" s="33"/>
      <c r="TY57" s="34"/>
      <c r="TZ57" s="32"/>
      <c r="UA57" s="64"/>
      <c r="UB57" s="64"/>
      <c r="UC57" s="64"/>
      <c r="UD57" s="33"/>
      <c r="UE57" s="132"/>
      <c r="UF57" s="33"/>
      <c r="UG57" s="33"/>
      <c r="UH57" s="33"/>
      <c r="UI57" s="33"/>
      <c r="UJ57" s="33"/>
      <c r="UK57" s="137"/>
      <c r="UL57" s="33"/>
      <c r="UM57" s="33"/>
      <c r="UN57" s="33"/>
      <c r="UO57" s="33"/>
      <c r="UP57" s="33"/>
      <c r="UQ57" s="74"/>
      <c r="UR57" s="33"/>
      <c r="US57" s="33"/>
      <c r="UT57" s="33"/>
      <c r="UU57" s="33"/>
      <c r="UV57" s="33"/>
      <c r="UW57" s="137"/>
      <c r="UX57" s="33"/>
      <c r="UY57" s="33"/>
      <c r="UZ57" s="33"/>
      <c r="VA57" s="33"/>
      <c r="VB57" s="33"/>
      <c r="VC57" s="74"/>
      <c r="VD57" s="64"/>
      <c r="VE57" s="64"/>
      <c r="VF57" s="64"/>
      <c r="VG57" s="64"/>
      <c r="VH57" s="33"/>
      <c r="VI57" s="137"/>
      <c r="VJ57" s="33"/>
      <c r="VK57" s="33"/>
      <c r="VL57" s="33"/>
      <c r="VM57" s="33"/>
      <c r="VN57" s="33"/>
      <c r="VO57" s="74"/>
      <c r="VP57" s="33"/>
      <c r="VQ57" s="33"/>
      <c r="VR57" s="33"/>
      <c r="VS57" s="33"/>
      <c r="VT57" s="33"/>
      <c r="VU57" s="137"/>
      <c r="VV57" s="33"/>
      <c r="VW57" s="33"/>
      <c r="VX57" s="33"/>
      <c r="VY57" s="33"/>
      <c r="VZ57" s="33"/>
      <c r="WA57" s="74"/>
      <c r="WB57" s="33"/>
      <c r="WC57" s="33"/>
      <c r="WD57" s="33"/>
      <c r="WE57" s="33"/>
      <c r="WF57" s="33"/>
      <c r="WG57" s="34"/>
      <c r="WH57" s="32"/>
      <c r="WI57" s="64"/>
      <c r="WJ57" s="64"/>
      <c r="WK57" s="64"/>
      <c r="WL57" s="33"/>
      <c r="WM57" s="132"/>
      <c r="WN57" s="33"/>
      <c r="WO57" s="33"/>
      <c r="WP57" s="33"/>
      <c r="WQ57" s="33"/>
      <c r="WR57" s="33"/>
      <c r="WS57" s="137"/>
      <c r="WT57" s="33"/>
      <c r="WU57" s="33"/>
      <c r="WV57" s="33"/>
      <c r="WW57" s="33"/>
      <c r="WX57" s="33"/>
      <c r="WY57" s="74"/>
      <c r="WZ57" s="33"/>
      <c r="XA57" s="33"/>
      <c r="XB57" s="33"/>
      <c r="XC57" s="33"/>
      <c r="XD57" s="33"/>
      <c r="XE57" s="137"/>
      <c r="XF57" s="33"/>
      <c r="XG57" s="33"/>
      <c r="XH57" s="33"/>
      <c r="XI57" s="33"/>
      <c r="XJ57" s="33"/>
      <c r="XK57" s="74"/>
      <c r="XL57" s="64"/>
      <c r="XM57" s="64"/>
      <c r="XN57" s="64"/>
      <c r="XO57" s="64"/>
      <c r="XP57" s="33"/>
      <c r="XQ57" s="137"/>
      <c r="XR57" s="33"/>
      <c r="XS57" s="33"/>
      <c r="XT57" s="33"/>
      <c r="XU57" s="33"/>
      <c r="XV57" s="33"/>
      <c r="XW57" s="74"/>
      <c r="XX57" s="33"/>
      <c r="XY57" s="33"/>
      <c r="XZ57" s="33"/>
      <c r="YA57" s="33"/>
      <c r="YB57" s="33"/>
      <c r="YC57" s="137"/>
      <c r="YD57" s="33"/>
      <c r="YE57" s="33"/>
      <c r="YF57" s="33"/>
      <c r="YG57" s="33"/>
      <c r="YH57" s="33"/>
      <c r="YI57" s="74"/>
      <c r="YJ57" s="33"/>
      <c r="YK57" s="33"/>
      <c r="YL57" s="33"/>
      <c r="YM57" s="33"/>
      <c r="YN57" s="33"/>
      <c r="YO57" s="34"/>
      <c r="YP57" s="32"/>
      <c r="YQ57" s="64"/>
      <c r="YR57" s="64"/>
      <c r="YS57" s="64"/>
      <c r="YT57" s="33"/>
      <c r="YU57" s="132"/>
      <c r="YV57" s="33"/>
      <c r="YW57" s="33"/>
      <c r="YX57" s="33"/>
      <c r="YY57" s="33"/>
      <c r="YZ57" s="33"/>
      <c r="ZA57" s="137"/>
      <c r="ZB57" s="33"/>
      <c r="ZC57" s="33"/>
      <c r="ZD57" s="33"/>
      <c r="ZE57" s="33"/>
      <c r="ZF57" s="33"/>
      <c r="ZG57" s="74"/>
      <c r="ZH57" s="33"/>
      <c r="ZI57" s="33"/>
      <c r="ZJ57" s="33"/>
      <c r="ZK57" s="33"/>
      <c r="ZL57" s="33"/>
      <c r="ZM57" s="137"/>
      <c r="ZN57" s="33"/>
      <c r="ZO57" s="33"/>
      <c r="ZP57" s="33"/>
      <c r="ZQ57" s="33"/>
      <c r="ZR57" s="33"/>
      <c r="ZS57" s="74"/>
      <c r="ZT57" s="64"/>
      <c r="ZU57" s="64"/>
      <c r="ZV57" s="64"/>
      <c r="ZW57" s="64"/>
      <c r="ZX57" s="33"/>
      <c r="ZY57" s="137"/>
      <c r="ZZ57" s="33"/>
      <c r="AAA57" s="33"/>
      <c r="AAB57" s="33"/>
      <c r="AAC57" s="33"/>
      <c r="AAD57" s="33"/>
      <c r="AAE57" s="74"/>
      <c r="AAF57" s="33"/>
      <c r="AAG57" s="33"/>
      <c r="AAH57" s="33"/>
      <c r="AAI57" s="33"/>
      <c r="AAJ57" s="33"/>
      <c r="AAK57" s="137"/>
      <c r="AAL57" s="33"/>
      <c r="AAM57" s="33"/>
      <c r="AAN57" s="33"/>
      <c r="AAO57" s="33"/>
      <c r="AAP57" s="33"/>
      <c r="AAQ57" s="74"/>
      <c r="AAR57" s="33"/>
      <c r="AAS57" s="33"/>
      <c r="AAT57" s="33"/>
      <c r="AAU57" s="33"/>
      <c r="AAV57" s="33"/>
      <c r="AAW57" s="34"/>
      <c r="AAX57" s="32"/>
      <c r="AAY57" s="64"/>
      <c r="AAZ57" s="64"/>
      <c r="ABA57" s="64"/>
      <c r="ABB57" s="33"/>
      <c r="ABC57" s="132"/>
      <c r="ABD57" s="33"/>
      <c r="ABE57" s="33"/>
      <c r="ABF57" s="33"/>
      <c r="ABG57" s="33"/>
      <c r="ABH57" s="33"/>
      <c r="ABI57" s="137"/>
      <c r="ABJ57" s="33"/>
      <c r="ABK57" s="33"/>
      <c r="ABL57" s="33"/>
      <c r="ABM57" s="33"/>
      <c r="ABN57" s="33"/>
      <c r="ABO57" s="74"/>
      <c r="ABP57" s="33"/>
      <c r="ABQ57" s="33"/>
      <c r="ABR57" s="33"/>
      <c r="ABS57" s="33"/>
      <c r="ABT57" s="33"/>
      <c r="ABU57" s="137"/>
      <c r="ABV57" s="33"/>
      <c r="ABW57" s="33"/>
      <c r="ABX57" s="33"/>
      <c r="ABY57" s="33"/>
      <c r="ABZ57" s="33"/>
      <c r="ACA57" s="74"/>
      <c r="ACB57" s="64"/>
      <c r="ACC57" s="64"/>
      <c r="ACD57" s="64"/>
      <c r="ACE57" s="64"/>
      <c r="ACF57" s="33"/>
      <c r="ACG57" s="137"/>
      <c r="ACH57" s="33"/>
      <c r="ACI57" s="33"/>
      <c r="ACJ57" s="33"/>
      <c r="ACK57" s="33"/>
      <c r="ACL57" s="33"/>
      <c r="ACM57" s="74"/>
      <c r="ACN57" s="33"/>
      <c r="ACO57" s="33"/>
      <c r="ACP57" s="33"/>
      <c r="ACQ57" s="33"/>
      <c r="ACR57" s="33"/>
      <c r="ACS57" s="137"/>
      <c r="ACT57" s="33"/>
      <c r="ACU57" s="33"/>
      <c r="ACV57" s="33"/>
      <c r="ACW57" s="33"/>
      <c r="ACX57" s="33"/>
      <c r="ACY57" s="74"/>
      <c r="ACZ57" s="33"/>
      <c r="ADA57" s="33"/>
      <c r="ADB57" s="33"/>
      <c r="ADC57" s="33"/>
      <c r="ADD57" s="33"/>
      <c r="ADE57" s="34"/>
      <c r="ADF57" s="32"/>
      <c r="ADG57" s="64"/>
      <c r="ADH57" s="64"/>
      <c r="ADI57" s="64"/>
      <c r="ADJ57" s="33"/>
      <c r="ADK57" s="132"/>
      <c r="ADL57" s="33"/>
      <c r="ADM57" s="33"/>
      <c r="ADN57" s="33"/>
      <c r="ADO57" s="33"/>
      <c r="ADP57" s="33"/>
      <c r="ADQ57" s="137"/>
      <c r="ADR57" s="33"/>
      <c r="ADS57" s="33"/>
      <c r="ADT57" s="33"/>
      <c r="ADU57" s="33"/>
      <c r="ADV57" s="33"/>
      <c r="ADW57" s="74"/>
      <c r="ADX57" s="33"/>
      <c r="ADY57" s="33"/>
      <c r="ADZ57" s="33"/>
      <c r="AEA57" s="33"/>
      <c r="AEB57" s="33"/>
      <c r="AEC57" s="137"/>
      <c r="AED57" s="33"/>
      <c r="AEE57" s="33"/>
      <c r="AEF57" s="33"/>
      <c r="AEG57" s="33"/>
      <c r="AEH57" s="33"/>
      <c r="AEI57" s="74"/>
      <c r="AEJ57" s="64"/>
      <c r="AEK57" s="64"/>
      <c r="AEL57" s="64"/>
      <c r="AEM57" s="64"/>
      <c r="AEN57" s="33"/>
      <c r="AEO57" s="137"/>
      <c r="AEP57" s="33"/>
      <c r="AEQ57" s="33"/>
      <c r="AER57" s="33"/>
      <c r="AES57" s="33"/>
      <c r="AET57" s="33"/>
      <c r="AEU57" s="74"/>
      <c r="AEV57" s="33"/>
      <c r="AEW57" s="33"/>
      <c r="AEX57" s="33"/>
      <c r="AEY57" s="33"/>
      <c r="AEZ57" s="33"/>
      <c r="AFA57" s="137"/>
      <c r="AFB57" s="33"/>
      <c r="AFC57" s="33"/>
      <c r="AFD57" s="33"/>
      <c r="AFE57" s="33"/>
      <c r="AFF57" s="33"/>
      <c r="AFG57" s="74"/>
      <c r="AFH57" s="33"/>
      <c r="AFI57" s="33"/>
      <c r="AFJ57" s="33"/>
      <c r="AFK57" s="33"/>
      <c r="AFL57" s="33"/>
      <c r="AFM57" s="34"/>
      <c r="AFN57" s="90"/>
    </row>
    <row r="58" spans="1:846" ht="20.100000000000001" customHeight="1" x14ac:dyDescent="0.3">
      <c r="A58" s="100" t="s">
        <v>21</v>
      </c>
      <c r="B58" s="63"/>
      <c r="C58" s="219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36"/>
      <c r="RS58" s="65"/>
      <c r="RT58" s="65"/>
      <c r="RU58" s="65"/>
      <c r="RV58" s="37"/>
      <c r="RW58" s="133"/>
      <c r="RX58" s="37"/>
      <c r="RY58" s="37"/>
      <c r="RZ58" s="37"/>
      <c r="SA58" s="37"/>
      <c r="SB58" s="37"/>
      <c r="SC58" s="138"/>
      <c r="SD58" s="37"/>
      <c r="SE58" s="37"/>
      <c r="SF58" s="37"/>
      <c r="SG58" s="37"/>
      <c r="SH58" s="37"/>
      <c r="SI58" s="75"/>
      <c r="SJ58" s="37"/>
      <c r="SK58" s="37"/>
      <c r="SL58" s="37"/>
      <c r="SM58" s="37"/>
      <c r="SN58" s="37"/>
      <c r="SO58" s="138"/>
      <c r="SP58" s="37"/>
      <c r="SQ58" s="37"/>
      <c r="SR58" s="37"/>
      <c r="SS58" s="37"/>
      <c r="ST58" s="37"/>
      <c r="SU58" s="75"/>
      <c r="SV58" s="65"/>
      <c r="SW58" s="65"/>
      <c r="SX58" s="65"/>
      <c r="SY58" s="65"/>
      <c r="SZ58" s="37"/>
      <c r="TA58" s="138"/>
      <c r="TB58" s="37"/>
      <c r="TC58" s="37"/>
      <c r="TD58" s="37"/>
      <c r="TE58" s="37"/>
      <c r="TF58" s="37"/>
      <c r="TG58" s="75"/>
      <c r="TH58" s="37"/>
      <c r="TI58" s="37"/>
      <c r="TJ58" s="37"/>
      <c r="TK58" s="37"/>
      <c r="TL58" s="37"/>
      <c r="TM58" s="138"/>
      <c r="TN58" s="37"/>
      <c r="TO58" s="37"/>
      <c r="TP58" s="37"/>
      <c r="TQ58" s="37"/>
      <c r="TR58" s="37"/>
      <c r="TS58" s="75"/>
      <c r="TT58" s="37"/>
      <c r="TU58" s="37"/>
      <c r="TV58" s="37"/>
      <c r="TW58" s="37"/>
      <c r="TX58" s="37"/>
      <c r="TY58" s="38"/>
      <c r="TZ58" s="36"/>
      <c r="UA58" s="65"/>
      <c r="UB58" s="65"/>
      <c r="UC58" s="65"/>
      <c r="UD58" s="37"/>
      <c r="UE58" s="133"/>
      <c r="UF58" s="37"/>
      <c r="UG58" s="37"/>
      <c r="UH58" s="37"/>
      <c r="UI58" s="37"/>
      <c r="UJ58" s="37"/>
      <c r="UK58" s="138"/>
      <c r="UL58" s="37"/>
      <c r="UM58" s="37"/>
      <c r="UN58" s="37"/>
      <c r="UO58" s="37"/>
      <c r="UP58" s="37"/>
      <c r="UQ58" s="75"/>
      <c r="UR58" s="37"/>
      <c r="US58" s="37"/>
      <c r="UT58" s="37"/>
      <c r="UU58" s="37"/>
      <c r="UV58" s="37"/>
      <c r="UW58" s="138"/>
      <c r="UX58" s="37"/>
      <c r="UY58" s="37"/>
      <c r="UZ58" s="37"/>
      <c r="VA58" s="37"/>
      <c r="VB58" s="37"/>
      <c r="VC58" s="75"/>
      <c r="VD58" s="65"/>
      <c r="VE58" s="65"/>
      <c r="VF58" s="65"/>
      <c r="VG58" s="65"/>
      <c r="VH58" s="37"/>
      <c r="VI58" s="138"/>
      <c r="VJ58" s="37"/>
      <c r="VK58" s="37"/>
      <c r="VL58" s="37"/>
      <c r="VM58" s="37"/>
      <c r="VN58" s="37"/>
      <c r="VO58" s="75"/>
      <c r="VP58" s="37"/>
      <c r="VQ58" s="37"/>
      <c r="VR58" s="37"/>
      <c r="VS58" s="37"/>
      <c r="VT58" s="37"/>
      <c r="VU58" s="138"/>
      <c r="VV58" s="37"/>
      <c r="VW58" s="37"/>
      <c r="VX58" s="37"/>
      <c r="VY58" s="37"/>
      <c r="VZ58" s="37"/>
      <c r="WA58" s="75"/>
      <c r="WB58" s="37"/>
      <c r="WC58" s="37"/>
      <c r="WD58" s="37"/>
      <c r="WE58" s="37"/>
      <c r="WF58" s="37"/>
      <c r="WG58" s="38"/>
      <c r="WH58" s="36"/>
      <c r="WI58" s="65"/>
      <c r="WJ58" s="65"/>
      <c r="WK58" s="65"/>
      <c r="WL58" s="37"/>
      <c r="WM58" s="133"/>
      <c r="WN58" s="37"/>
      <c r="WO58" s="37"/>
      <c r="WP58" s="37"/>
      <c r="WQ58" s="37"/>
      <c r="WR58" s="37"/>
      <c r="WS58" s="138"/>
      <c r="WT58" s="37"/>
      <c r="WU58" s="37"/>
      <c r="WV58" s="37"/>
      <c r="WW58" s="37"/>
      <c r="WX58" s="37"/>
      <c r="WY58" s="75"/>
      <c r="WZ58" s="37"/>
      <c r="XA58" s="37"/>
      <c r="XB58" s="37"/>
      <c r="XC58" s="37"/>
      <c r="XD58" s="37"/>
      <c r="XE58" s="138"/>
      <c r="XF58" s="37"/>
      <c r="XG58" s="37"/>
      <c r="XH58" s="37"/>
      <c r="XI58" s="37"/>
      <c r="XJ58" s="37"/>
      <c r="XK58" s="75"/>
      <c r="XL58" s="65"/>
      <c r="XM58" s="65"/>
      <c r="XN58" s="65"/>
      <c r="XO58" s="65"/>
      <c r="XP58" s="37"/>
      <c r="XQ58" s="138"/>
      <c r="XR58" s="37"/>
      <c r="XS58" s="37"/>
      <c r="XT58" s="37"/>
      <c r="XU58" s="37"/>
      <c r="XV58" s="37"/>
      <c r="XW58" s="75"/>
      <c r="XX58" s="37"/>
      <c r="XY58" s="37"/>
      <c r="XZ58" s="37"/>
      <c r="YA58" s="37"/>
      <c r="YB58" s="37"/>
      <c r="YC58" s="138"/>
      <c r="YD58" s="37"/>
      <c r="YE58" s="37"/>
      <c r="YF58" s="37"/>
      <c r="YG58" s="37"/>
      <c r="YH58" s="37"/>
      <c r="YI58" s="75"/>
      <c r="YJ58" s="37"/>
      <c r="YK58" s="37"/>
      <c r="YL58" s="37"/>
      <c r="YM58" s="37"/>
      <c r="YN58" s="37"/>
      <c r="YO58" s="38"/>
      <c r="YP58" s="36"/>
      <c r="YQ58" s="65"/>
      <c r="YR58" s="65"/>
      <c r="YS58" s="65"/>
      <c r="YT58" s="37"/>
      <c r="YU58" s="133"/>
      <c r="YV58" s="37"/>
      <c r="YW58" s="37"/>
      <c r="YX58" s="37"/>
      <c r="YY58" s="37"/>
      <c r="YZ58" s="37"/>
      <c r="ZA58" s="138"/>
      <c r="ZB58" s="37"/>
      <c r="ZC58" s="37"/>
      <c r="ZD58" s="37"/>
      <c r="ZE58" s="37"/>
      <c r="ZF58" s="37"/>
      <c r="ZG58" s="75"/>
      <c r="ZH58" s="37"/>
      <c r="ZI58" s="37"/>
      <c r="ZJ58" s="37"/>
      <c r="ZK58" s="37"/>
      <c r="ZL58" s="37"/>
      <c r="ZM58" s="138"/>
      <c r="ZN58" s="37"/>
      <c r="ZO58" s="37"/>
      <c r="ZP58" s="37"/>
      <c r="ZQ58" s="37"/>
      <c r="ZR58" s="37"/>
      <c r="ZS58" s="75"/>
      <c r="ZT58" s="65"/>
      <c r="ZU58" s="65"/>
      <c r="ZV58" s="65"/>
      <c r="ZW58" s="65"/>
      <c r="ZX58" s="37"/>
      <c r="ZY58" s="138"/>
      <c r="ZZ58" s="37"/>
      <c r="AAA58" s="37"/>
      <c r="AAB58" s="37"/>
      <c r="AAC58" s="37"/>
      <c r="AAD58" s="37"/>
      <c r="AAE58" s="75"/>
      <c r="AAF58" s="37"/>
      <c r="AAG58" s="37"/>
      <c r="AAH58" s="37"/>
      <c r="AAI58" s="37"/>
      <c r="AAJ58" s="37"/>
      <c r="AAK58" s="138"/>
      <c r="AAL58" s="37"/>
      <c r="AAM58" s="37"/>
      <c r="AAN58" s="37"/>
      <c r="AAO58" s="37"/>
      <c r="AAP58" s="37"/>
      <c r="AAQ58" s="75"/>
      <c r="AAR58" s="37"/>
      <c r="AAS58" s="37"/>
      <c r="AAT58" s="37"/>
      <c r="AAU58" s="37"/>
      <c r="AAV58" s="37"/>
      <c r="AAW58" s="38"/>
      <c r="AAX58" s="36"/>
      <c r="AAY58" s="65"/>
      <c r="AAZ58" s="65"/>
      <c r="ABA58" s="65"/>
      <c r="ABB58" s="37"/>
      <c r="ABC58" s="133"/>
      <c r="ABD58" s="37"/>
      <c r="ABE58" s="37"/>
      <c r="ABF58" s="37"/>
      <c r="ABG58" s="37"/>
      <c r="ABH58" s="37"/>
      <c r="ABI58" s="138"/>
      <c r="ABJ58" s="37"/>
      <c r="ABK58" s="37"/>
      <c r="ABL58" s="37"/>
      <c r="ABM58" s="37"/>
      <c r="ABN58" s="37"/>
      <c r="ABO58" s="75"/>
      <c r="ABP58" s="37"/>
      <c r="ABQ58" s="37"/>
      <c r="ABR58" s="37"/>
      <c r="ABS58" s="37"/>
      <c r="ABT58" s="37"/>
      <c r="ABU58" s="138"/>
      <c r="ABV58" s="37"/>
      <c r="ABW58" s="37"/>
      <c r="ABX58" s="37"/>
      <c r="ABY58" s="37"/>
      <c r="ABZ58" s="37"/>
      <c r="ACA58" s="75"/>
      <c r="ACB58" s="65"/>
      <c r="ACC58" s="65"/>
      <c r="ACD58" s="65"/>
      <c r="ACE58" s="65"/>
      <c r="ACF58" s="37"/>
      <c r="ACG58" s="138"/>
      <c r="ACH58" s="37"/>
      <c r="ACI58" s="37"/>
      <c r="ACJ58" s="37"/>
      <c r="ACK58" s="37"/>
      <c r="ACL58" s="37"/>
      <c r="ACM58" s="75"/>
      <c r="ACN58" s="37"/>
      <c r="ACO58" s="37"/>
      <c r="ACP58" s="37"/>
      <c r="ACQ58" s="37"/>
      <c r="ACR58" s="37"/>
      <c r="ACS58" s="138"/>
      <c r="ACT58" s="37"/>
      <c r="ACU58" s="37"/>
      <c r="ACV58" s="37"/>
      <c r="ACW58" s="37"/>
      <c r="ACX58" s="37"/>
      <c r="ACY58" s="75"/>
      <c r="ACZ58" s="37"/>
      <c r="ADA58" s="37"/>
      <c r="ADB58" s="37"/>
      <c r="ADC58" s="37"/>
      <c r="ADD58" s="37"/>
      <c r="ADE58" s="38"/>
      <c r="ADF58" s="36"/>
      <c r="ADG58" s="65"/>
      <c r="ADH58" s="65"/>
      <c r="ADI58" s="65"/>
      <c r="ADJ58" s="37"/>
      <c r="ADK58" s="133"/>
      <c r="ADL58" s="37"/>
      <c r="ADM58" s="37"/>
      <c r="ADN58" s="37"/>
      <c r="ADO58" s="37"/>
      <c r="ADP58" s="37"/>
      <c r="ADQ58" s="138"/>
      <c r="ADR58" s="37"/>
      <c r="ADS58" s="37"/>
      <c r="ADT58" s="37"/>
      <c r="ADU58" s="37"/>
      <c r="ADV58" s="37"/>
      <c r="ADW58" s="75"/>
      <c r="ADX58" s="37"/>
      <c r="ADY58" s="37"/>
      <c r="ADZ58" s="37"/>
      <c r="AEA58" s="37"/>
      <c r="AEB58" s="37"/>
      <c r="AEC58" s="138"/>
      <c r="AED58" s="37"/>
      <c r="AEE58" s="37"/>
      <c r="AEF58" s="37"/>
      <c r="AEG58" s="37"/>
      <c r="AEH58" s="37"/>
      <c r="AEI58" s="75"/>
      <c r="AEJ58" s="65"/>
      <c r="AEK58" s="65"/>
      <c r="AEL58" s="65"/>
      <c r="AEM58" s="65"/>
      <c r="AEN58" s="37"/>
      <c r="AEO58" s="138"/>
      <c r="AEP58" s="37"/>
      <c r="AEQ58" s="37"/>
      <c r="AER58" s="37"/>
      <c r="AES58" s="37"/>
      <c r="AET58" s="37"/>
      <c r="AEU58" s="75"/>
      <c r="AEV58" s="37"/>
      <c r="AEW58" s="37"/>
      <c r="AEX58" s="37"/>
      <c r="AEY58" s="37"/>
      <c r="AEZ58" s="37"/>
      <c r="AFA58" s="138"/>
      <c r="AFB58" s="37"/>
      <c r="AFC58" s="37"/>
      <c r="AFD58" s="37"/>
      <c r="AFE58" s="37"/>
      <c r="AFF58" s="37"/>
      <c r="AFG58" s="75"/>
      <c r="AFH58" s="37"/>
      <c r="AFI58" s="37"/>
      <c r="AFJ58" s="37"/>
      <c r="AFK58" s="37"/>
      <c r="AFL58" s="37"/>
      <c r="AFM58" s="38"/>
      <c r="AFN58" s="90"/>
    </row>
    <row r="59" spans="1:846" ht="20.100000000000001" customHeight="1" x14ac:dyDescent="0.25">
      <c r="A59" s="100" t="s">
        <v>20</v>
      </c>
      <c r="B59" s="63"/>
      <c r="C59" s="218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40"/>
      <c r="RS59" s="66"/>
      <c r="RT59" s="66"/>
      <c r="RU59" s="66"/>
      <c r="RV59" s="41"/>
      <c r="RW59" s="134"/>
      <c r="RX59" s="41"/>
      <c r="RY59" s="41"/>
      <c r="RZ59" s="41"/>
      <c r="SA59" s="41"/>
      <c r="SB59" s="41"/>
      <c r="SC59" s="139"/>
      <c r="SD59" s="41"/>
      <c r="SE59" s="41"/>
      <c r="SF59" s="41"/>
      <c r="SG59" s="41"/>
      <c r="SH59" s="41"/>
      <c r="SI59" s="76"/>
      <c r="SJ59" s="41"/>
      <c r="SK59" s="41"/>
      <c r="SL59" s="41"/>
      <c r="SM59" s="41"/>
      <c r="SN59" s="41"/>
      <c r="SO59" s="139"/>
      <c r="SP59" s="41"/>
      <c r="SQ59" s="41"/>
      <c r="SR59" s="41"/>
      <c r="SS59" s="41"/>
      <c r="ST59" s="41"/>
      <c r="SU59" s="76"/>
      <c r="SV59" s="66"/>
      <c r="SW59" s="66"/>
      <c r="SX59" s="66"/>
      <c r="SY59" s="66"/>
      <c r="SZ59" s="41"/>
      <c r="TA59" s="139"/>
      <c r="TB59" s="41"/>
      <c r="TC59" s="41"/>
      <c r="TD59" s="41"/>
      <c r="TE59" s="41"/>
      <c r="TF59" s="41"/>
      <c r="TG59" s="76"/>
      <c r="TH59" s="41"/>
      <c r="TI59" s="41"/>
      <c r="TJ59" s="41"/>
      <c r="TK59" s="41"/>
      <c r="TL59" s="41"/>
      <c r="TM59" s="139"/>
      <c r="TN59" s="41"/>
      <c r="TO59" s="41"/>
      <c r="TP59" s="41"/>
      <c r="TQ59" s="41"/>
      <c r="TR59" s="41"/>
      <c r="TS59" s="76"/>
      <c r="TT59" s="41"/>
      <c r="TU59" s="41"/>
      <c r="TV59" s="41"/>
      <c r="TW59" s="41"/>
      <c r="TX59" s="41"/>
      <c r="TY59" s="42"/>
      <c r="TZ59" s="40"/>
      <c r="UA59" s="66"/>
      <c r="UB59" s="66"/>
      <c r="UC59" s="66"/>
      <c r="UD59" s="41"/>
      <c r="UE59" s="134"/>
      <c r="UF59" s="41"/>
      <c r="UG59" s="41"/>
      <c r="UH59" s="41"/>
      <c r="UI59" s="41"/>
      <c r="UJ59" s="41"/>
      <c r="UK59" s="139"/>
      <c r="UL59" s="41"/>
      <c r="UM59" s="41"/>
      <c r="UN59" s="41"/>
      <c r="UO59" s="41"/>
      <c r="UP59" s="41"/>
      <c r="UQ59" s="76"/>
      <c r="UR59" s="41"/>
      <c r="US59" s="41"/>
      <c r="UT59" s="41"/>
      <c r="UU59" s="41"/>
      <c r="UV59" s="41"/>
      <c r="UW59" s="139"/>
      <c r="UX59" s="41"/>
      <c r="UY59" s="41"/>
      <c r="UZ59" s="41"/>
      <c r="VA59" s="41"/>
      <c r="VB59" s="41"/>
      <c r="VC59" s="76"/>
      <c r="VD59" s="66"/>
      <c r="VE59" s="66"/>
      <c r="VF59" s="66"/>
      <c r="VG59" s="66"/>
      <c r="VH59" s="41"/>
      <c r="VI59" s="139"/>
      <c r="VJ59" s="41"/>
      <c r="VK59" s="41"/>
      <c r="VL59" s="41"/>
      <c r="VM59" s="41"/>
      <c r="VN59" s="41"/>
      <c r="VO59" s="76"/>
      <c r="VP59" s="41"/>
      <c r="VQ59" s="41"/>
      <c r="VR59" s="41"/>
      <c r="VS59" s="41"/>
      <c r="VT59" s="41"/>
      <c r="VU59" s="139"/>
      <c r="VV59" s="41"/>
      <c r="VW59" s="41"/>
      <c r="VX59" s="41"/>
      <c r="VY59" s="41"/>
      <c r="VZ59" s="41"/>
      <c r="WA59" s="76"/>
      <c r="WB59" s="41"/>
      <c r="WC59" s="41"/>
      <c r="WD59" s="41"/>
      <c r="WE59" s="41"/>
      <c r="WF59" s="41"/>
      <c r="WG59" s="42"/>
      <c r="WH59" s="40"/>
      <c r="WI59" s="66"/>
      <c r="WJ59" s="66"/>
      <c r="WK59" s="66"/>
      <c r="WL59" s="41"/>
      <c r="WM59" s="134"/>
      <c r="WN59" s="41"/>
      <c r="WO59" s="41"/>
      <c r="WP59" s="41"/>
      <c r="WQ59" s="41"/>
      <c r="WR59" s="41"/>
      <c r="WS59" s="139"/>
      <c r="WT59" s="41"/>
      <c r="WU59" s="41"/>
      <c r="WV59" s="41"/>
      <c r="WW59" s="41"/>
      <c r="WX59" s="41"/>
      <c r="WY59" s="76"/>
      <c r="WZ59" s="41"/>
      <c r="XA59" s="41"/>
      <c r="XB59" s="41"/>
      <c r="XC59" s="41"/>
      <c r="XD59" s="41"/>
      <c r="XE59" s="139"/>
      <c r="XF59" s="41"/>
      <c r="XG59" s="41"/>
      <c r="XH59" s="41"/>
      <c r="XI59" s="41"/>
      <c r="XJ59" s="41"/>
      <c r="XK59" s="76"/>
      <c r="XL59" s="66"/>
      <c r="XM59" s="66"/>
      <c r="XN59" s="66"/>
      <c r="XO59" s="66"/>
      <c r="XP59" s="41"/>
      <c r="XQ59" s="139"/>
      <c r="XR59" s="41"/>
      <c r="XS59" s="41"/>
      <c r="XT59" s="41"/>
      <c r="XU59" s="41"/>
      <c r="XV59" s="41"/>
      <c r="XW59" s="76"/>
      <c r="XX59" s="41"/>
      <c r="XY59" s="41"/>
      <c r="XZ59" s="41"/>
      <c r="YA59" s="41"/>
      <c r="YB59" s="41"/>
      <c r="YC59" s="139"/>
      <c r="YD59" s="41"/>
      <c r="YE59" s="41"/>
      <c r="YF59" s="41"/>
      <c r="YG59" s="41"/>
      <c r="YH59" s="41"/>
      <c r="YI59" s="76"/>
      <c r="YJ59" s="41"/>
      <c r="YK59" s="41"/>
      <c r="YL59" s="41"/>
      <c r="YM59" s="41"/>
      <c r="YN59" s="41"/>
      <c r="YO59" s="42"/>
      <c r="YP59" s="40"/>
      <c r="YQ59" s="66"/>
      <c r="YR59" s="66"/>
      <c r="YS59" s="66"/>
      <c r="YT59" s="41"/>
      <c r="YU59" s="134"/>
      <c r="YV59" s="41"/>
      <c r="YW59" s="41"/>
      <c r="YX59" s="41"/>
      <c r="YY59" s="41"/>
      <c r="YZ59" s="41"/>
      <c r="ZA59" s="139"/>
      <c r="ZB59" s="41"/>
      <c r="ZC59" s="41"/>
      <c r="ZD59" s="41"/>
      <c r="ZE59" s="41"/>
      <c r="ZF59" s="41"/>
      <c r="ZG59" s="76"/>
      <c r="ZH59" s="41"/>
      <c r="ZI59" s="41"/>
      <c r="ZJ59" s="41"/>
      <c r="ZK59" s="41"/>
      <c r="ZL59" s="41"/>
      <c r="ZM59" s="139"/>
      <c r="ZN59" s="41"/>
      <c r="ZO59" s="41"/>
      <c r="ZP59" s="41"/>
      <c r="ZQ59" s="41"/>
      <c r="ZR59" s="41"/>
      <c r="ZS59" s="76"/>
      <c r="ZT59" s="66"/>
      <c r="ZU59" s="66"/>
      <c r="ZV59" s="66"/>
      <c r="ZW59" s="66"/>
      <c r="ZX59" s="41"/>
      <c r="ZY59" s="139"/>
      <c r="ZZ59" s="41"/>
      <c r="AAA59" s="41"/>
      <c r="AAB59" s="41"/>
      <c r="AAC59" s="41"/>
      <c r="AAD59" s="41"/>
      <c r="AAE59" s="76"/>
      <c r="AAF59" s="41"/>
      <c r="AAG59" s="41"/>
      <c r="AAH59" s="41"/>
      <c r="AAI59" s="41"/>
      <c r="AAJ59" s="41"/>
      <c r="AAK59" s="139"/>
      <c r="AAL59" s="41"/>
      <c r="AAM59" s="41"/>
      <c r="AAN59" s="41"/>
      <c r="AAO59" s="41"/>
      <c r="AAP59" s="41"/>
      <c r="AAQ59" s="76"/>
      <c r="AAR59" s="41"/>
      <c r="AAS59" s="41"/>
      <c r="AAT59" s="41"/>
      <c r="AAU59" s="41"/>
      <c r="AAV59" s="41"/>
      <c r="AAW59" s="42"/>
      <c r="AAX59" s="40"/>
      <c r="AAY59" s="66"/>
      <c r="AAZ59" s="66"/>
      <c r="ABA59" s="66"/>
      <c r="ABB59" s="41"/>
      <c r="ABC59" s="134"/>
      <c r="ABD59" s="41"/>
      <c r="ABE59" s="41"/>
      <c r="ABF59" s="41"/>
      <c r="ABG59" s="41"/>
      <c r="ABH59" s="41"/>
      <c r="ABI59" s="139"/>
      <c r="ABJ59" s="41"/>
      <c r="ABK59" s="41"/>
      <c r="ABL59" s="41"/>
      <c r="ABM59" s="41"/>
      <c r="ABN59" s="41"/>
      <c r="ABO59" s="76"/>
      <c r="ABP59" s="41"/>
      <c r="ABQ59" s="41"/>
      <c r="ABR59" s="41"/>
      <c r="ABS59" s="41"/>
      <c r="ABT59" s="41"/>
      <c r="ABU59" s="139"/>
      <c r="ABV59" s="41"/>
      <c r="ABW59" s="41"/>
      <c r="ABX59" s="41"/>
      <c r="ABY59" s="41"/>
      <c r="ABZ59" s="41"/>
      <c r="ACA59" s="76"/>
      <c r="ACB59" s="66"/>
      <c r="ACC59" s="66"/>
      <c r="ACD59" s="66"/>
      <c r="ACE59" s="66"/>
      <c r="ACF59" s="41"/>
      <c r="ACG59" s="139"/>
      <c r="ACH59" s="41"/>
      <c r="ACI59" s="41"/>
      <c r="ACJ59" s="41"/>
      <c r="ACK59" s="41"/>
      <c r="ACL59" s="41"/>
      <c r="ACM59" s="76"/>
      <c r="ACN59" s="41"/>
      <c r="ACO59" s="41"/>
      <c r="ACP59" s="41"/>
      <c r="ACQ59" s="41"/>
      <c r="ACR59" s="41"/>
      <c r="ACS59" s="139"/>
      <c r="ACT59" s="41"/>
      <c r="ACU59" s="41"/>
      <c r="ACV59" s="41"/>
      <c r="ACW59" s="41"/>
      <c r="ACX59" s="41"/>
      <c r="ACY59" s="76"/>
      <c r="ACZ59" s="41"/>
      <c r="ADA59" s="41"/>
      <c r="ADB59" s="41"/>
      <c r="ADC59" s="41"/>
      <c r="ADD59" s="41"/>
      <c r="ADE59" s="42"/>
      <c r="ADF59" s="40"/>
      <c r="ADG59" s="66"/>
      <c r="ADH59" s="66"/>
      <c r="ADI59" s="66"/>
      <c r="ADJ59" s="41"/>
      <c r="ADK59" s="134"/>
      <c r="ADL59" s="41"/>
      <c r="ADM59" s="41"/>
      <c r="ADN59" s="41"/>
      <c r="ADO59" s="41"/>
      <c r="ADP59" s="41"/>
      <c r="ADQ59" s="139"/>
      <c r="ADR59" s="41"/>
      <c r="ADS59" s="41"/>
      <c r="ADT59" s="41"/>
      <c r="ADU59" s="41"/>
      <c r="ADV59" s="41"/>
      <c r="ADW59" s="76"/>
      <c r="ADX59" s="41"/>
      <c r="ADY59" s="41"/>
      <c r="ADZ59" s="41"/>
      <c r="AEA59" s="41"/>
      <c r="AEB59" s="41"/>
      <c r="AEC59" s="139"/>
      <c r="AED59" s="41"/>
      <c r="AEE59" s="41"/>
      <c r="AEF59" s="41"/>
      <c r="AEG59" s="41"/>
      <c r="AEH59" s="41"/>
      <c r="AEI59" s="76"/>
      <c r="AEJ59" s="66"/>
      <c r="AEK59" s="66"/>
      <c r="AEL59" s="66"/>
      <c r="AEM59" s="66"/>
      <c r="AEN59" s="41"/>
      <c r="AEO59" s="139"/>
      <c r="AEP59" s="41"/>
      <c r="AEQ59" s="41"/>
      <c r="AER59" s="41"/>
      <c r="AES59" s="41"/>
      <c r="AET59" s="41"/>
      <c r="AEU59" s="76"/>
      <c r="AEV59" s="41"/>
      <c r="AEW59" s="41"/>
      <c r="AEX59" s="41"/>
      <c r="AEY59" s="41"/>
      <c r="AEZ59" s="41"/>
      <c r="AFA59" s="139"/>
      <c r="AFB59" s="41"/>
      <c r="AFC59" s="41"/>
      <c r="AFD59" s="41"/>
      <c r="AFE59" s="41"/>
      <c r="AFF59" s="41"/>
      <c r="AFG59" s="76"/>
      <c r="AFH59" s="41"/>
      <c r="AFI59" s="41"/>
      <c r="AFJ59" s="41"/>
      <c r="AFK59" s="41"/>
      <c r="AFL59" s="41"/>
      <c r="AFM59" s="42"/>
      <c r="AFN59" s="90"/>
    </row>
    <row r="60" spans="1:846" ht="20.100000000000001" customHeight="1" x14ac:dyDescent="0.3">
      <c r="A60" s="100" t="s">
        <v>21</v>
      </c>
      <c r="B60" s="63"/>
      <c r="C60" s="219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28"/>
      <c r="RS60" s="67"/>
      <c r="RT60" s="67"/>
      <c r="RU60" s="67"/>
      <c r="RV60" s="29"/>
      <c r="RW60" s="131"/>
      <c r="RX60" s="29"/>
      <c r="RY60" s="29"/>
      <c r="RZ60" s="29"/>
      <c r="SA60" s="29"/>
      <c r="SB60" s="29"/>
      <c r="SC60" s="136"/>
      <c r="SD60" s="29"/>
      <c r="SE60" s="29"/>
      <c r="SF60" s="29"/>
      <c r="SG60" s="29"/>
      <c r="SH60" s="29"/>
      <c r="SI60" s="73"/>
      <c r="SJ60" s="29"/>
      <c r="SK60" s="29"/>
      <c r="SL60" s="29"/>
      <c r="SM60" s="29"/>
      <c r="SN60" s="29"/>
      <c r="SO60" s="136"/>
      <c r="SP60" s="29"/>
      <c r="SQ60" s="29"/>
      <c r="SR60" s="29"/>
      <c r="SS60" s="29"/>
      <c r="ST60" s="29"/>
      <c r="SU60" s="73"/>
      <c r="SV60" s="67"/>
      <c r="SW60" s="67"/>
      <c r="SX60" s="67"/>
      <c r="SY60" s="67"/>
      <c r="SZ60" s="29"/>
      <c r="TA60" s="136"/>
      <c r="TB60" s="29"/>
      <c r="TC60" s="29"/>
      <c r="TD60" s="29"/>
      <c r="TE60" s="29"/>
      <c r="TF60" s="29"/>
      <c r="TG60" s="73"/>
      <c r="TH60" s="29"/>
      <c r="TI60" s="29"/>
      <c r="TJ60" s="29"/>
      <c r="TK60" s="29"/>
      <c r="TL60" s="29"/>
      <c r="TM60" s="136"/>
      <c r="TN60" s="29"/>
      <c r="TO60" s="29"/>
      <c r="TP60" s="29"/>
      <c r="TQ60" s="29"/>
      <c r="TR60" s="29"/>
      <c r="TS60" s="73"/>
      <c r="TT60" s="29"/>
      <c r="TU60" s="29"/>
      <c r="TV60" s="29"/>
      <c r="TW60" s="29"/>
      <c r="TX60" s="29"/>
      <c r="TY60" s="30"/>
      <c r="TZ60" s="28"/>
      <c r="UA60" s="67"/>
      <c r="UB60" s="67"/>
      <c r="UC60" s="67"/>
      <c r="UD60" s="29"/>
      <c r="UE60" s="131"/>
      <c r="UF60" s="29"/>
      <c r="UG60" s="29"/>
      <c r="UH60" s="29"/>
      <c r="UI60" s="29"/>
      <c r="UJ60" s="29"/>
      <c r="UK60" s="136"/>
      <c r="UL60" s="29"/>
      <c r="UM60" s="29"/>
      <c r="UN60" s="29"/>
      <c r="UO60" s="29"/>
      <c r="UP60" s="29"/>
      <c r="UQ60" s="73"/>
      <c r="UR60" s="29"/>
      <c r="US60" s="29"/>
      <c r="UT60" s="29"/>
      <c r="UU60" s="29"/>
      <c r="UV60" s="29"/>
      <c r="UW60" s="136"/>
      <c r="UX60" s="29"/>
      <c r="UY60" s="29"/>
      <c r="UZ60" s="29"/>
      <c r="VA60" s="29"/>
      <c r="VB60" s="29"/>
      <c r="VC60" s="73"/>
      <c r="VD60" s="67"/>
      <c r="VE60" s="67"/>
      <c r="VF60" s="67"/>
      <c r="VG60" s="67"/>
      <c r="VH60" s="29"/>
      <c r="VI60" s="136"/>
      <c r="VJ60" s="29"/>
      <c r="VK60" s="29"/>
      <c r="VL60" s="29"/>
      <c r="VM60" s="29"/>
      <c r="VN60" s="29"/>
      <c r="VO60" s="73"/>
      <c r="VP60" s="29"/>
      <c r="VQ60" s="29"/>
      <c r="VR60" s="29"/>
      <c r="VS60" s="29"/>
      <c r="VT60" s="29"/>
      <c r="VU60" s="136"/>
      <c r="VV60" s="29"/>
      <c r="VW60" s="29"/>
      <c r="VX60" s="29"/>
      <c r="VY60" s="29"/>
      <c r="VZ60" s="29"/>
      <c r="WA60" s="73"/>
      <c r="WB60" s="29"/>
      <c r="WC60" s="29"/>
      <c r="WD60" s="29"/>
      <c r="WE60" s="29"/>
      <c r="WF60" s="29"/>
      <c r="WG60" s="30"/>
      <c r="WH60" s="28"/>
      <c r="WI60" s="67"/>
      <c r="WJ60" s="67"/>
      <c r="WK60" s="67"/>
      <c r="WL60" s="29"/>
      <c r="WM60" s="131"/>
      <c r="WN60" s="29"/>
      <c r="WO60" s="29"/>
      <c r="WP60" s="29"/>
      <c r="WQ60" s="29"/>
      <c r="WR60" s="29"/>
      <c r="WS60" s="136"/>
      <c r="WT60" s="29"/>
      <c r="WU60" s="29"/>
      <c r="WV60" s="29"/>
      <c r="WW60" s="29"/>
      <c r="WX60" s="29"/>
      <c r="WY60" s="73"/>
      <c r="WZ60" s="29"/>
      <c r="XA60" s="29"/>
      <c r="XB60" s="29"/>
      <c r="XC60" s="29"/>
      <c r="XD60" s="29"/>
      <c r="XE60" s="136"/>
      <c r="XF60" s="29"/>
      <c r="XG60" s="29"/>
      <c r="XH60" s="29"/>
      <c r="XI60" s="29"/>
      <c r="XJ60" s="29"/>
      <c r="XK60" s="73"/>
      <c r="XL60" s="67"/>
      <c r="XM60" s="67"/>
      <c r="XN60" s="67"/>
      <c r="XO60" s="67"/>
      <c r="XP60" s="29"/>
      <c r="XQ60" s="136"/>
      <c r="XR60" s="29"/>
      <c r="XS60" s="29"/>
      <c r="XT60" s="29"/>
      <c r="XU60" s="29"/>
      <c r="XV60" s="29"/>
      <c r="XW60" s="73"/>
      <c r="XX60" s="29"/>
      <c r="XY60" s="29"/>
      <c r="XZ60" s="29"/>
      <c r="YA60" s="29"/>
      <c r="YB60" s="29"/>
      <c r="YC60" s="136"/>
      <c r="YD60" s="29"/>
      <c r="YE60" s="29"/>
      <c r="YF60" s="29"/>
      <c r="YG60" s="29"/>
      <c r="YH60" s="29"/>
      <c r="YI60" s="73"/>
      <c r="YJ60" s="29"/>
      <c r="YK60" s="29"/>
      <c r="YL60" s="29"/>
      <c r="YM60" s="29"/>
      <c r="YN60" s="29"/>
      <c r="YO60" s="30"/>
      <c r="YP60" s="28"/>
      <c r="YQ60" s="67"/>
      <c r="YR60" s="67"/>
      <c r="YS60" s="67"/>
      <c r="YT60" s="29"/>
      <c r="YU60" s="131"/>
      <c r="YV60" s="29"/>
      <c r="YW60" s="29"/>
      <c r="YX60" s="29"/>
      <c r="YY60" s="29"/>
      <c r="YZ60" s="29"/>
      <c r="ZA60" s="136"/>
      <c r="ZB60" s="29"/>
      <c r="ZC60" s="29"/>
      <c r="ZD60" s="29"/>
      <c r="ZE60" s="29"/>
      <c r="ZF60" s="29"/>
      <c r="ZG60" s="73"/>
      <c r="ZH60" s="29"/>
      <c r="ZI60" s="29"/>
      <c r="ZJ60" s="29"/>
      <c r="ZK60" s="29"/>
      <c r="ZL60" s="29"/>
      <c r="ZM60" s="136"/>
      <c r="ZN60" s="29"/>
      <c r="ZO60" s="29"/>
      <c r="ZP60" s="29"/>
      <c r="ZQ60" s="29"/>
      <c r="ZR60" s="29"/>
      <c r="ZS60" s="73"/>
      <c r="ZT60" s="67"/>
      <c r="ZU60" s="67"/>
      <c r="ZV60" s="67"/>
      <c r="ZW60" s="67"/>
      <c r="ZX60" s="29"/>
      <c r="ZY60" s="136"/>
      <c r="ZZ60" s="29"/>
      <c r="AAA60" s="29"/>
      <c r="AAB60" s="29"/>
      <c r="AAC60" s="29"/>
      <c r="AAD60" s="29"/>
      <c r="AAE60" s="73"/>
      <c r="AAF60" s="29"/>
      <c r="AAG60" s="29"/>
      <c r="AAH60" s="29"/>
      <c r="AAI60" s="29"/>
      <c r="AAJ60" s="29"/>
      <c r="AAK60" s="136"/>
      <c r="AAL60" s="29"/>
      <c r="AAM60" s="29"/>
      <c r="AAN60" s="29"/>
      <c r="AAO60" s="29"/>
      <c r="AAP60" s="29"/>
      <c r="AAQ60" s="73"/>
      <c r="AAR60" s="29"/>
      <c r="AAS60" s="29"/>
      <c r="AAT60" s="29"/>
      <c r="AAU60" s="29"/>
      <c r="AAV60" s="29"/>
      <c r="AAW60" s="30"/>
      <c r="AAX60" s="28"/>
      <c r="AAY60" s="67"/>
      <c r="AAZ60" s="67"/>
      <c r="ABA60" s="67"/>
      <c r="ABB60" s="29"/>
      <c r="ABC60" s="131"/>
      <c r="ABD60" s="29"/>
      <c r="ABE60" s="29"/>
      <c r="ABF60" s="29"/>
      <c r="ABG60" s="29"/>
      <c r="ABH60" s="29"/>
      <c r="ABI60" s="136"/>
      <c r="ABJ60" s="29"/>
      <c r="ABK60" s="29"/>
      <c r="ABL60" s="29"/>
      <c r="ABM60" s="29"/>
      <c r="ABN60" s="29"/>
      <c r="ABO60" s="73"/>
      <c r="ABP60" s="29"/>
      <c r="ABQ60" s="29"/>
      <c r="ABR60" s="29"/>
      <c r="ABS60" s="29"/>
      <c r="ABT60" s="29"/>
      <c r="ABU60" s="136"/>
      <c r="ABV60" s="29"/>
      <c r="ABW60" s="29"/>
      <c r="ABX60" s="29"/>
      <c r="ABY60" s="29"/>
      <c r="ABZ60" s="29"/>
      <c r="ACA60" s="73"/>
      <c r="ACB60" s="67"/>
      <c r="ACC60" s="67"/>
      <c r="ACD60" s="67"/>
      <c r="ACE60" s="67"/>
      <c r="ACF60" s="29"/>
      <c r="ACG60" s="136"/>
      <c r="ACH60" s="29"/>
      <c r="ACI60" s="29"/>
      <c r="ACJ60" s="29"/>
      <c r="ACK60" s="29"/>
      <c r="ACL60" s="29"/>
      <c r="ACM60" s="73"/>
      <c r="ACN60" s="29"/>
      <c r="ACO60" s="29"/>
      <c r="ACP60" s="29"/>
      <c r="ACQ60" s="29"/>
      <c r="ACR60" s="29"/>
      <c r="ACS60" s="136"/>
      <c r="ACT60" s="29"/>
      <c r="ACU60" s="29"/>
      <c r="ACV60" s="29"/>
      <c r="ACW60" s="29"/>
      <c r="ACX60" s="29"/>
      <c r="ACY60" s="73"/>
      <c r="ACZ60" s="29"/>
      <c r="ADA60" s="29"/>
      <c r="ADB60" s="29"/>
      <c r="ADC60" s="29"/>
      <c r="ADD60" s="29"/>
      <c r="ADE60" s="30"/>
      <c r="ADF60" s="28"/>
      <c r="ADG60" s="67"/>
      <c r="ADH60" s="67"/>
      <c r="ADI60" s="67"/>
      <c r="ADJ60" s="29"/>
      <c r="ADK60" s="131"/>
      <c r="ADL60" s="29"/>
      <c r="ADM60" s="29"/>
      <c r="ADN60" s="29"/>
      <c r="ADO60" s="29"/>
      <c r="ADP60" s="29"/>
      <c r="ADQ60" s="136"/>
      <c r="ADR60" s="29"/>
      <c r="ADS60" s="29"/>
      <c r="ADT60" s="29"/>
      <c r="ADU60" s="29"/>
      <c r="ADV60" s="29"/>
      <c r="ADW60" s="73"/>
      <c r="ADX60" s="29"/>
      <c r="ADY60" s="29"/>
      <c r="ADZ60" s="29"/>
      <c r="AEA60" s="29"/>
      <c r="AEB60" s="29"/>
      <c r="AEC60" s="136"/>
      <c r="AED60" s="29"/>
      <c r="AEE60" s="29"/>
      <c r="AEF60" s="29"/>
      <c r="AEG60" s="29"/>
      <c r="AEH60" s="29"/>
      <c r="AEI60" s="73"/>
      <c r="AEJ60" s="67"/>
      <c r="AEK60" s="67"/>
      <c r="AEL60" s="67"/>
      <c r="AEM60" s="67"/>
      <c r="AEN60" s="29"/>
      <c r="AEO60" s="136"/>
      <c r="AEP60" s="29"/>
      <c r="AEQ60" s="29"/>
      <c r="AER60" s="29"/>
      <c r="AES60" s="29"/>
      <c r="AET60" s="29"/>
      <c r="AEU60" s="73"/>
      <c r="AEV60" s="29"/>
      <c r="AEW60" s="29"/>
      <c r="AEX60" s="29"/>
      <c r="AEY60" s="29"/>
      <c r="AEZ60" s="29"/>
      <c r="AFA60" s="136"/>
      <c r="AFB60" s="29"/>
      <c r="AFC60" s="29"/>
      <c r="AFD60" s="29"/>
      <c r="AFE60" s="29"/>
      <c r="AFF60" s="29"/>
      <c r="AFG60" s="73"/>
      <c r="AFH60" s="29"/>
      <c r="AFI60" s="29"/>
      <c r="AFJ60" s="29"/>
      <c r="AFK60" s="29"/>
      <c r="AFL60" s="29"/>
      <c r="AFM60" s="30"/>
      <c r="AFN60" s="90"/>
    </row>
    <row r="61" spans="1:846" ht="20.100000000000001" customHeight="1" x14ac:dyDescent="0.25">
      <c r="A61" s="100" t="s">
        <v>20</v>
      </c>
      <c r="B61" s="63"/>
      <c r="C61" s="218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32"/>
      <c r="RS61" s="64"/>
      <c r="RT61" s="64"/>
      <c r="RU61" s="64"/>
      <c r="RV61" s="33"/>
      <c r="RW61" s="132"/>
      <c r="RX61" s="33"/>
      <c r="RY61" s="33"/>
      <c r="RZ61" s="33"/>
      <c r="SA61" s="33"/>
      <c r="SB61" s="33"/>
      <c r="SC61" s="137"/>
      <c r="SD61" s="33"/>
      <c r="SE61" s="33"/>
      <c r="SF61" s="33"/>
      <c r="SG61" s="33"/>
      <c r="SH61" s="33"/>
      <c r="SI61" s="74"/>
      <c r="SJ61" s="33"/>
      <c r="SK61" s="33"/>
      <c r="SL61" s="33"/>
      <c r="SM61" s="33"/>
      <c r="SN61" s="33"/>
      <c r="SO61" s="137"/>
      <c r="SP61" s="33"/>
      <c r="SQ61" s="33"/>
      <c r="SR61" s="33"/>
      <c r="SS61" s="33"/>
      <c r="ST61" s="33"/>
      <c r="SU61" s="74"/>
      <c r="SV61" s="64"/>
      <c r="SW61" s="64"/>
      <c r="SX61" s="64"/>
      <c r="SY61" s="64"/>
      <c r="SZ61" s="33"/>
      <c r="TA61" s="137"/>
      <c r="TB61" s="33"/>
      <c r="TC61" s="33"/>
      <c r="TD61" s="33"/>
      <c r="TE61" s="33"/>
      <c r="TF61" s="33"/>
      <c r="TG61" s="74"/>
      <c r="TH61" s="33"/>
      <c r="TI61" s="33"/>
      <c r="TJ61" s="33"/>
      <c r="TK61" s="33"/>
      <c r="TL61" s="33"/>
      <c r="TM61" s="137"/>
      <c r="TN61" s="33"/>
      <c r="TO61" s="33"/>
      <c r="TP61" s="33"/>
      <c r="TQ61" s="33"/>
      <c r="TR61" s="33"/>
      <c r="TS61" s="74"/>
      <c r="TT61" s="33"/>
      <c r="TU61" s="33"/>
      <c r="TV61" s="33"/>
      <c r="TW61" s="33"/>
      <c r="TX61" s="33"/>
      <c r="TY61" s="34"/>
      <c r="TZ61" s="32"/>
      <c r="UA61" s="64"/>
      <c r="UB61" s="64"/>
      <c r="UC61" s="64"/>
      <c r="UD61" s="33"/>
      <c r="UE61" s="132"/>
      <c r="UF61" s="33"/>
      <c r="UG61" s="33"/>
      <c r="UH61" s="33"/>
      <c r="UI61" s="33"/>
      <c r="UJ61" s="33"/>
      <c r="UK61" s="137"/>
      <c r="UL61" s="33"/>
      <c r="UM61" s="33"/>
      <c r="UN61" s="33"/>
      <c r="UO61" s="33"/>
      <c r="UP61" s="33"/>
      <c r="UQ61" s="74"/>
      <c r="UR61" s="33"/>
      <c r="US61" s="33"/>
      <c r="UT61" s="33"/>
      <c r="UU61" s="33"/>
      <c r="UV61" s="33"/>
      <c r="UW61" s="137"/>
      <c r="UX61" s="33"/>
      <c r="UY61" s="33"/>
      <c r="UZ61" s="33"/>
      <c r="VA61" s="33"/>
      <c r="VB61" s="33"/>
      <c r="VC61" s="74"/>
      <c r="VD61" s="64"/>
      <c r="VE61" s="64"/>
      <c r="VF61" s="64"/>
      <c r="VG61" s="64"/>
      <c r="VH61" s="33"/>
      <c r="VI61" s="137"/>
      <c r="VJ61" s="33"/>
      <c r="VK61" s="33"/>
      <c r="VL61" s="33"/>
      <c r="VM61" s="33"/>
      <c r="VN61" s="33"/>
      <c r="VO61" s="74"/>
      <c r="VP61" s="33"/>
      <c r="VQ61" s="33"/>
      <c r="VR61" s="33"/>
      <c r="VS61" s="33"/>
      <c r="VT61" s="33"/>
      <c r="VU61" s="137"/>
      <c r="VV61" s="33"/>
      <c r="VW61" s="33"/>
      <c r="VX61" s="33"/>
      <c r="VY61" s="33"/>
      <c r="VZ61" s="33"/>
      <c r="WA61" s="74"/>
      <c r="WB61" s="33"/>
      <c r="WC61" s="33"/>
      <c r="WD61" s="33"/>
      <c r="WE61" s="33"/>
      <c r="WF61" s="33"/>
      <c r="WG61" s="34"/>
      <c r="WH61" s="32"/>
      <c r="WI61" s="64"/>
      <c r="WJ61" s="64"/>
      <c r="WK61" s="64"/>
      <c r="WL61" s="33"/>
      <c r="WM61" s="132"/>
      <c r="WN61" s="33"/>
      <c r="WO61" s="33"/>
      <c r="WP61" s="33"/>
      <c r="WQ61" s="33"/>
      <c r="WR61" s="33"/>
      <c r="WS61" s="137"/>
      <c r="WT61" s="33"/>
      <c r="WU61" s="33"/>
      <c r="WV61" s="33"/>
      <c r="WW61" s="33"/>
      <c r="WX61" s="33"/>
      <c r="WY61" s="74"/>
      <c r="WZ61" s="33"/>
      <c r="XA61" s="33"/>
      <c r="XB61" s="33"/>
      <c r="XC61" s="33"/>
      <c r="XD61" s="33"/>
      <c r="XE61" s="137"/>
      <c r="XF61" s="33"/>
      <c r="XG61" s="33"/>
      <c r="XH61" s="33"/>
      <c r="XI61" s="33"/>
      <c r="XJ61" s="33"/>
      <c r="XK61" s="74"/>
      <c r="XL61" s="64"/>
      <c r="XM61" s="64"/>
      <c r="XN61" s="64"/>
      <c r="XO61" s="64"/>
      <c r="XP61" s="33"/>
      <c r="XQ61" s="137"/>
      <c r="XR61" s="33"/>
      <c r="XS61" s="33"/>
      <c r="XT61" s="33"/>
      <c r="XU61" s="33"/>
      <c r="XV61" s="33"/>
      <c r="XW61" s="74"/>
      <c r="XX61" s="33"/>
      <c r="XY61" s="33"/>
      <c r="XZ61" s="33"/>
      <c r="YA61" s="33"/>
      <c r="YB61" s="33"/>
      <c r="YC61" s="137"/>
      <c r="YD61" s="33"/>
      <c r="YE61" s="33"/>
      <c r="YF61" s="33"/>
      <c r="YG61" s="33"/>
      <c r="YH61" s="33"/>
      <c r="YI61" s="74"/>
      <c r="YJ61" s="33"/>
      <c r="YK61" s="33"/>
      <c r="YL61" s="33"/>
      <c r="YM61" s="33"/>
      <c r="YN61" s="33"/>
      <c r="YO61" s="34"/>
      <c r="YP61" s="32"/>
      <c r="YQ61" s="64"/>
      <c r="YR61" s="64"/>
      <c r="YS61" s="64"/>
      <c r="YT61" s="33"/>
      <c r="YU61" s="132"/>
      <c r="YV61" s="33"/>
      <c r="YW61" s="33"/>
      <c r="YX61" s="33"/>
      <c r="YY61" s="33"/>
      <c r="YZ61" s="33"/>
      <c r="ZA61" s="137"/>
      <c r="ZB61" s="33"/>
      <c r="ZC61" s="33"/>
      <c r="ZD61" s="33"/>
      <c r="ZE61" s="33"/>
      <c r="ZF61" s="33"/>
      <c r="ZG61" s="74"/>
      <c r="ZH61" s="33"/>
      <c r="ZI61" s="33"/>
      <c r="ZJ61" s="33"/>
      <c r="ZK61" s="33"/>
      <c r="ZL61" s="33"/>
      <c r="ZM61" s="137"/>
      <c r="ZN61" s="33"/>
      <c r="ZO61" s="33"/>
      <c r="ZP61" s="33"/>
      <c r="ZQ61" s="33"/>
      <c r="ZR61" s="33"/>
      <c r="ZS61" s="74"/>
      <c r="ZT61" s="64"/>
      <c r="ZU61" s="64"/>
      <c r="ZV61" s="64"/>
      <c r="ZW61" s="64"/>
      <c r="ZX61" s="33"/>
      <c r="ZY61" s="137"/>
      <c r="ZZ61" s="33"/>
      <c r="AAA61" s="33"/>
      <c r="AAB61" s="33"/>
      <c r="AAC61" s="33"/>
      <c r="AAD61" s="33"/>
      <c r="AAE61" s="74"/>
      <c r="AAF61" s="33"/>
      <c r="AAG61" s="33"/>
      <c r="AAH61" s="33"/>
      <c r="AAI61" s="33"/>
      <c r="AAJ61" s="33"/>
      <c r="AAK61" s="137"/>
      <c r="AAL61" s="33"/>
      <c r="AAM61" s="33"/>
      <c r="AAN61" s="33"/>
      <c r="AAO61" s="33"/>
      <c r="AAP61" s="33"/>
      <c r="AAQ61" s="74"/>
      <c r="AAR61" s="33"/>
      <c r="AAS61" s="33"/>
      <c r="AAT61" s="33"/>
      <c r="AAU61" s="33"/>
      <c r="AAV61" s="33"/>
      <c r="AAW61" s="34"/>
      <c r="AAX61" s="32"/>
      <c r="AAY61" s="64"/>
      <c r="AAZ61" s="64"/>
      <c r="ABA61" s="64"/>
      <c r="ABB61" s="33"/>
      <c r="ABC61" s="132"/>
      <c r="ABD61" s="33"/>
      <c r="ABE61" s="33"/>
      <c r="ABF61" s="33"/>
      <c r="ABG61" s="33"/>
      <c r="ABH61" s="33"/>
      <c r="ABI61" s="137"/>
      <c r="ABJ61" s="33"/>
      <c r="ABK61" s="33"/>
      <c r="ABL61" s="33"/>
      <c r="ABM61" s="33"/>
      <c r="ABN61" s="33"/>
      <c r="ABO61" s="74"/>
      <c r="ABP61" s="33"/>
      <c r="ABQ61" s="33"/>
      <c r="ABR61" s="33"/>
      <c r="ABS61" s="33"/>
      <c r="ABT61" s="33"/>
      <c r="ABU61" s="137"/>
      <c r="ABV61" s="33"/>
      <c r="ABW61" s="33"/>
      <c r="ABX61" s="33"/>
      <c r="ABY61" s="33"/>
      <c r="ABZ61" s="33"/>
      <c r="ACA61" s="74"/>
      <c r="ACB61" s="64"/>
      <c r="ACC61" s="64"/>
      <c r="ACD61" s="64"/>
      <c r="ACE61" s="64"/>
      <c r="ACF61" s="33"/>
      <c r="ACG61" s="137"/>
      <c r="ACH61" s="33"/>
      <c r="ACI61" s="33"/>
      <c r="ACJ61" s="33"/>
      <c r="ACK61" s="33"/>
      <c r="ACL61" s="33"/>
      <c r="ACM61" s="74"/>
      <c r="ACN61" s="33"/>
      <c r="ACO61" s="33"/>
      <c r="ACP61" s="33"/>
      <c r="ACQ61" s="33"/>
      <c r="ACR61" s="33"/>
      <c r="ACS61" s="137"/>
      <c r="ACT61" s="33"/>
      <c r="ACU61" s="33"/>
      <c r="ACV61" s="33"/>
      <c r="ACW61" s="33"/>
      <c r="ACX61" s="33"/>
      <c r="ACY61" s="74"/>
      <c r="ACZ61" s="33"/>
      <c r="ADA61" s="33"/>
      <c r="ADB61" s="33"/>
      <c r="ADC61" s="33"/>
      <c r="ADD61" s="33"/>
      <c r="ADE61" s="34"/>
      <c r="ADF61" s="32"/>
      <c r="ADG61" s="64"/>
      <c r="ADH61" s="64"/>
      <c r="ADI61" s="64"/>
      <c r="ADJ61" s="33"/>
      <c r="ADK61" s="132"/>
      <c r="ADL61" s="33"/>
      <c r="ADM61" s="33"/>
      <c r="ADN61" s="33"/>
      <c r="ADO61" s="33"/>
      <c r="ADP61" s="33"/>
      <c r="ADQ61" s="137"/>
      <c r="ADR61" s="33"/>
      <c r="ADS61" s="33"/>
      <c r="ADT61" s="33"/>
      <c r="ADU61" s="33"/>
      <c r="ADV61" s="33"/>
      <c r="ADW61" s="74"/>
      <c r="ADX61" s="33"/>
      <c r="ADY61" s="33"/>
      <c r="ADZ61" s="33"/>
      <c r="AEA61" s="33"/>
      <c r="AEB61" s="33"/>
      <c r="AEC61" s="137"/>
      <c r="AED61" s="33"/>
      <c r="AEE61" s="33"/>
      <c r="AEF61" s="33"/>
      <c r="AEG61" s="33"/>
      <c r="AEH61" s="33"/>
      <c r="AEI61" s="74"/>
      <c r="AEJ61" s="64"/>
      <c r="AEK61" s="64"/>
      <c r="AEL61" s="64"/>
      <c r="AEM61" s="64"/>
      <c r="AEN61" s="33"/>
      <c r="AEO61" s="137"/>
      <c r="AEP61" s="33"/>
      <c r="AEQ61" s="33"/>
      <c r="AER61" s="33"/>
      <c r="AES61" s="33"/>
      <c r="AET61" s="33"/>
      <c r="AEU61" s="74"/>
      <c r="AEV61" s="33"/>
      <c r="AEW61" s="33"/>
      <c r="AEX61" s="33"/>
      <c r="AEY61" s="33"/>
      <c r="AEZ61" s="33"/>
      <c r="AFA61" s="137"/>
      <c r="AFB61" s="33"/>
      <c r="AFC61" s="33"/>
      <c r="AFD61" s="33"/>
      <c r="AFE61" s="33"/>
      <c r="AFF61" s="33"/>
      <c r="AFG61" s="74"/>
      <c r="AFH61" s="33"/>
      <c r="AFI61" s="33"/>
      <c r="AFJ61" s="33"/>
      <c r="AFK61" s="33"/>
      <c r="AFL61" s="33"/>
      <c r="AFM61" s="34"/>
      <c r="AFN61" s="90"/>
    </row>
    <row r="62" spans="1:846" ht="20.100000000000001" customHeight="1" x14ac:dyDescent="0.25">
      <c r="A62" s="100" t="s">
        <v>21</v>
      </c>
      <c r="B62" s="63"/>
      <c r="C62" s="220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36"/>
      <c r="RS62" s="65"/>
      <c r="RT62" s="65"/>
      <c r="RU62" s="65"/>
      <c r="RV62" s="37"/>
      <c r="RW62" s="133"/>
      <c r="RX62" s="37"/>
      <c r="RY62" s="37"/>
      <c r="RZ62" s="37"/>
      <c r="SA62" s="37"/>
      <c r="SB62" s="37"/>
      <c r="SC62" s="138"/>
      <c r="SD62" s="37"/>
      <c r="SE62" s="37"/>
      <c r="SF62" s="37"/>
      <c r="SG62" s="37"/>
      <c r="SH62" s="37"/>
      <c r="SI62" s="75"/>
      <c r="SJ62" s="37"/>
      <c r="SK62" s="37"/>
      <c r="SL62" s="37"/>
      <c r="SM62" s="37"/>
      <c r="SN62" s="37"/>
      <c r="SO62" s="138"/>
      <c r="SP62" s="37"/>
      <c r="SQ62" s="37"/>
      <c r="SR62" s="37"/>
      <c r="SS62" s="37"/>
      <c r="ST62" s="37"/>
      <c r="SU62" s="75"/>
      <c r="SV62" s="65"/>
      <c r="SW62" s="65"/>
      <c r="SX62" s="65"/>
      <c r="SY62" s="65"/>
      <c r="SZ62" s="37"/>
      <c r="TA62" s="138"/>
      <c r="TB62" s="37"/>
      <c r="TC62" s="37"/>
      <c r="TD62" s="37"/>
      <c r="TE62" s="37"/>
      <c r="TF62" s="37"/>
      <c r="TG62" s="75"/>
      <c r="TH62" s="37"/>
      <c r="TI62" s="37"/>
      <c r="TJ62" s="37"/>
      <c r="TK62" s="37"/>
      <c r="TL62" s="37"/>
      <c r="TM62" s="138"/>
      <c r="TN62" s="37"/>
      <c r="TO62" s="37"/>
      <c r="TP62" s="37"/>
      <c r="TQ62" s="37"/>
      <c r="TR62" s="37"/>
      <c r="TS62" s="75"/>
      <c r="TT62" s="37"/>
      <c r="TU62" s="37"/>
      <c r="TV62" s="37"/>
      <c r="TW62" s="37"/>
      <c r="TX62" s="37"/>
      <c r="TY62" s="38"/>
      <c r="TZ62" s="36"/>
      <c r="UA62" s="65"/>
      <c r="UB62" s="65"/>
      <c r="UC62" s="65"/>
      <c r="UD62" s="37"/>
      <c r="UE62" s="133"/>
      <c r="UF62" s="37"/>
      <c r="UG62" s="37"/>
      <c r="UH62" s="37"/>
      <c r="UI62" s="37"/>
      <c r="UJ62" s="37"/>
      <c r="UK62" s="138"/>
      <c r="UL62" s="37"/>
      <c r="UM62" s="37"/>
      <c r="UN62" s="37"/>
      <c r="UO62" s="37"/>
      <c r="UP62" s="37"/>
      <c r="UQ62" s="75"/>
      <c r="UR62" s="37"/>
      <c r="US62" s="37"/>
      <c r="UT62" s="37"/>
      <c r="UU62" s="37"/>
      <c r="UV62" s="37"/>
      <c r="UW62" s="138"/>
      <c r="UX62" s="37"/>
      <c r="UY62" s="37"/>
      <c r="UZ62" s="37"/>
      <c r="VA62" s="37"/>
      <c r="VB62" s="37"/>
      <c r="VC62" s="75"/>
      <c r="VD62" s="65"/>
      <c r="VE62" s="65"/>
      <c r="VF62" s="65"/>
      <c r="VG62" s="65"/>
      <c r="VH62" s="37"/>
      <c r="VI62" s="138"/>
      <c r="VJ62" s="37"/>
      <c r="VK62" s="37"/>
      <c r="VL62" s="37"/>
      <c r="VM62" s="37"/>
      <c r="VN62" s="37"/>
      <c r="VO62" s="75"/>
      <c r="VP62" s="37"/>
      <c r="VQ62" s="37"/>
      <c r="VR62" s="37"/>
      <c r="VS62" s="37"/>
      <c r="VT62" s="37"/>
      <c r="VU62" s="138"/>
      <c r="VV62" s="37"/>
      <c r="VW62" s="37"/>
      <c r="VX62" s="37"/>
      <c r="VY62" s="37"/>
      <c r="VZ62" s="37"/>
      <c r="WA62" s="75"/>
      <c r="WB62" s="37"/>
      <c r="WC62" s="37"/>
      <c r="WD62" s="37"/>
      <c r="WE62" s="37"/>
      <c r="WF62" s="37"/>
      <c r="WG62" s="38"/>
      <c r="WH62" s="36"/>
      <c r="WI62" s="65"/>
      <c r="WJ62" s="65"/>
      <c r="WK62" s="65"/>
      <c r="WL62" s="37"/>
      <c r="WM62" s="133"/>
      <c r="WN62" s="37"/>
      <c r="WO62" s="37"/>
      <c r="WP62" s="37"/>
      <c r="WQ62" s="37"/>
      <c r="WR62" s="37"/>
      <c r="WS62" s="138"/>
      <c r="WT62" s="37"/>
      <c r="WU62" s="37"/>
      <c r="WV62" s="37"/>
      <c r="WW62" s="37"/>
      <c r="WX62" s="37"/>
      <c r="WY62" s="75"/>
      <c r="WZ62" s="37"/>
      <c r="XA62" s="37"/>
      <c r="XB62" s="37"/>
      <c r="XC62" s="37"/>
      <c r="XD62" s="37"/>
      <c r="XE62" s="138"/>
      <c r="XF62" s="37"/>
      <c r="XG62" s="37"/>
      <c r="XH62" s="37"/>
      <c r="XI62" s="37"/>
      <c r="XJ62" s="37"/>
      <c r="XK62" s="75"/>
      <c r="XL62" s="65"/>
      <c r="XM62" s="65"/>
      <c r="XN62" s="65"/>
      <c r="XO62" s="65"/>
      <c r="XP62" s="37"/>
      <c r="XQ62" s="138"/>
      <c r="XR62" s="37"/>
      <c r="XS62" s="37"/>
      <c r="XT62" s="37"/>
      <c r="XU62" s="37"/>
      <c r="XV62" s="37"/>
      <c r="XW62" s="75"/>
      <c r="XX62" s="37"/>
      <c r="XY62" s="37"/>
      <c r="XZ62" s="37"/>
      <c r="YA62" s="37"/>
      <c r="YB62" s="37"/>
      <c r="YC62" s="138"/>
      <c r="YD62" s="37"/>
      <c r="YE62" s="37"/>
      <c r="YF62" s="37"/>
      <c r="YG62" s="37"/>
      <c r="YH62" s="37"/>
      <c r="YI62" s="75"/>
      <c r="YJ62" s="37"/>
      <c r="YK62" s="37"/>
      <c r="YL62" s="37"/>
      <c r="YM62" s="37"/>
      <c r="YN62" s="37"/>
      <c r="YO62" s="38"/>
      <c r="YP62" s="36"/>
      <c r="YQ62" s="65"/>
      <c r="YR62" s="65"/>
      <c r="YS62" s="65"/>
      <c r="YT62" s="37"/>
      <c r="YU62" s="133"/>
      <c r="YV62" s="37"/>
      <c r="YW62" s="37"/>
      <c r="YX62" s="37"/>
      <c r="YY62" s="37"/>
      <c r="YZ62" s="37"/>
      <c r="ZA62" s="138"/>
      <c r="ZB62" s="37"/>
      <c r="ZC62" s="37"/>
      <c r="ZD62" s="37"/>
      <c r="ZE62" s="37"/>
      <c r="ZF62" s="37"/>
      <c r="ZG62" s="75"/>
      <c r="ZH62" s="37"/>
      <c r="ZI62" s="37"/>
      <c r="ZJ62" s="37"/>
      <c r="ZK62" s="37"/>
      <c r="ZL62" s="37"/>
      <c r="ZM62" s="138"/>
      <c r="ZN62" s="37"/>
      <c r="ZO62" s="37"/>
      <c r="ZP62" s="37"/>
      <c r="ZQ62" s="37"/>
      <c r="ZR62" s="37"/>
      <c r="ZS62" s="75"/>
      <c r="ZT62" s="65"/>
      <c r="ZU62" s="65"/>
      <c r="ZV62" s="65"/>
      <c r="ZW62" s="65"/>
      <c r="ZX62" s="37"/>
      <c r="ZY62" s="138"/>
      <c r="ZZ62" s="37"/>
      <c r="AAA62" s="37"/>
      <c r="AAB62" s="37"/>
      <c r="AAC62" s="37"/>
      <c r="AAD62" s="37"/>
      <c r="AAE62" s="75"/>
      <c r="AAF62" s="37"/>
      <c r="AAG62" s="37"/>
      <c r="AAH62" s="37"/>
      <c r="AAI62" s="37"/>
      <c r="AAJ62" s="37"/>
      <c r="AAK62" s="138"/>
      <c r="AAL62" s="37"/>
      <c r="AAM62" s="37"/>
      <c r="AAN62" s="37"/>
      <c r="AAO62" s="37"/>
      <c r="AAP62" s="37"/>
      <c r="AAQ62" s="75"/>
      <c r="AAR62" s="37"/>
      <c r="AAS62" s="37"/>
      <c r="AAT62" s="37"/>
      <c r="AAU62" s="37"/>
      <c r="AAV62" s="37"/>
      <c r="AAW62" s="38"/>
      <c r="AAX62" s="36"/>
      <c r="AAY62" s="65"/>
      <c r="AAZ62" s="65"/>
      <c r="ABA62" s="65"/>
      <c r="ABB62" s="37"/>
      <c r="ABC62" s="133"/>
      <c r="ABD62" s="37"/>
      <c r="ABE62" s="37"/>
      <c r="ABF62" s="37"/>
      <c r="ABG62" s="37"/>
      <c r="ABH62" s="37"/>
      <c r="ABI62" s="138"/>
      <c r="ABJ62" s="37"/>
      <c r="ABK62" s="37"/>
      <c r="ABL62" s="37"/>
      <c r="ABM62" s="37"/>
      <c r="ABN62" s="37"/>
      <c r="ABO62" s="75"/>
      <c r="ABP62" s="37"/>
      <c r="ABQ62" s="37"/>
      <c r="ABR62" s="37"/>
      <c r="ABS62" s="37"/>
      <c r="ABT62" s="37"/>
      <c r="ABU62" s="138"/>
      <c r="ABV62" s="37"/>
      <c r="ABW62" s="37"/>
      <c r="ABX62" s="37"/>
      <c r="ABY62" s="37"/>
      <c r="ABZ62" s="37"/>
      <c r="ACA62" s="75"/>
      <c r="ACB62" s="65"/>
      <c r="ACC62" s="65"/>
      <c r="ACD62" s="65"/>
      <c r="ACE62" s="65"/>
      <c r="ACF62" s="37"/>
      <c r="ACG62" s="138"/>
      <c r="ACH62" s="37"/>
      <c r="ACI62" s="37"/>
      <c r="ACJ62" s="37"/>
      <c r="ACK62" s="37"/>
      <c r="ACL62" s="37"/>
      <c r="ACM62" s="75"/>
      <c r="ACN62" s="37"/>
      <c r="ACO62" s="37"/>
      <c r="ACP62" s="37"/>
      <c r="ACQ62" s="37"/>
      <c r="ACR62" s="37"/>
      <c r="ACS62" s="138"/>
      <c r="ACT62" s="37"/>
      <c r="ACU62" s="37"/>
      <c r="ACV62" s="37"/>
      <c r="ACW62" s="37"/>
      <c r="ACX62" s="37"/>
      <c r="ACY62" s="75"/>
      <c r="ACZ62" s="37"/>
      <c r="ADA62" s="37"/>
      <c r="ADB62" s="37"/>
      <c r="ADC62" s="37"/>
      <c r="ADD62" s="37"/>
      <c r="ADE62" s="38"/>
      <c r="ADF62" s="36"/>
      <c r="ADG62" s="65"/>
      <c r="ADH62" s="65"/>
      <c r="ADI62" s="65"/>
      <c r="ADJ62" s="37"/>
      <c r="ADK62" s="133"/>
      <c r="ADL62" s="37"/>
      <c r="ADM62" s="37"/>
      <c r="ADN62" s="37"/>
      <c r="ADO62" s="37"/>
      <c r="ADP62" s="37"/>
      <c r="ADQ62" s="138"/>
      <c r="ADR62" s="37"/>
      <c r="ADS62" s="37"/>
      <c r="ADT62" s="37"/>
      <c r="ADU62" s="37"/>
      <c r="ADV62" s="37"/>
      <c r="ADW62" s="75"/>
      <c r="ADX62" s="37"/>
      <c r="ADY62" s="37"/>
      <c r="ADZ62" s="37"/>
      <c r="AEA62" s="37"/>
      <c r="AEB62" s="37"/>
      <c r="AEC62" s="138"/>
      <c r="AED62" s="37"/>
      <c r="AEE62" s="37"/>
      <c r="AEF62" s="37"/>
      <c r="AEG62" s="37"/>
      <c r="AEH62" s="37"/>
      <c r="AEI62" s="75"/>
      <c r="AEJ62" s="65"/>
      <c r="AEK62" s="65"/>
      <c r="AEL62" s="65"/>
      <c r="AEM62" s="65"/>
      <c r="AEN62" s="37"/>
      <c r="AEO62" s="138"/>
      <c r="AEP62" s="37"/>
      <c r="AEQ62" s="37"/>
      <c r="AER62" s="37"/>
      <c r="AES62" s="37"/>
      <c r="AET62" s="37"/>
      <c r="AEU62" s="75"/>
      <c r="AEV62" s="37"/>
      <c r="AEW62" s="37"/>
      <c r="AEX62" s="37"/>
      <c r="AEY62" s="37"/>
      <c r="AEZ62" s="37"/>
      <c r="AFA62" s="138"/>
      <c r="AFB62" s="37"/>
      <c r="AFC62" s="37"/>
      <c r="AFD62" s="37"/>
      <c r="AFE62" s="37"/>
      <c r="AFF62" s="37"/>
      <c r="AFG62" s="75"/>
      <c r="AFH62" s="37"/>
      <c r="AFI62" s="37"/>
      <c r="AFJ62" s="37"/>
      <c r="AFK62" s="37"/>
      <c r="AFL62" s="37"/>
      <c r="AFM62" s="38"/>
      <c r="AFN62" s="90"/>
    </row>
    <row r="63" spans="1:846" ht="20.100000000000001" customHeight="1" x14ac:dyDescent="0.25">
      <c r="A63" s="100" t="s">
        <v>20</v>
      </c>
      <c r="B63" s="63"/>
      <c r="C63" s="218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40"/>
      <c r="RS63" s="66"/>
      <c r="RT63" s="66"/>
      <c r="RU63" s="66"/>
      <c r="RV63" s="41"/>
      <c r="RW63" s="134"/>
      <c r="RX63" s="41"/>
      <c r="RY63" s="41"/>
      <c r="RZ63" s="41"/>
      <c r="SA63" s="41"/>
      <c r="SB63" s="41"/>
      <c r="SC63" s="139"/>
      <c r="SD63" s="41"/>
      <c r="SE63" s="41"/>
      <c r="SF63" s="41"/>
      <c r="SG63" s="41"/>
      <c r="SH63" s="41"/>
      <c r="SI63" s="76"/>
      <c r="SJ63" s="41"/>
      <c r="SK63" s="41"/>
      <c r="SL63" s="41"/>
      <c r="SM63" s="41"/>
      <c r="SN63" s="41"/>
      <c r="SO63" s="139"/>
      <c r="SP63" s="41"/>
      <c r="SQ63" s="41"/>
      <c r="SR63" s="41"/>
      <c r="SS63" s="41"/>
      <c r="ST63" s="41"/>
      <c r="SU63" s="76"/>
      <c r="SV63" s="66"/>
      <c r="SW63" s="66"/>
      <c r="SX63" s="66"/>
      <c r="SY63" s="66"/>
      <c r="SZ63" s="41"/>
      <c r="TA63" s="139"/>
      <c r="TB63" s="41"/>
      <c r="TC63" s="41"/>
      <c r="TD63" s="41"/>
      <c r="TE63" s="41"/>
      <c r="TF63" s="41"/>
      <c r="TG63" s="76"/>
      <c r="TH63" s="41"/>
      <c r="TI63" s="41"/>
      <c r="TJ63" s="41"/>
      <c r="TK63" s="41"/>
      <c r="TL63" s="41"/>
      <c r="TM63" s="139"/>
      <c r="TN63" s="41"/>
      <c r="TO63" s="41"/>
      <c r="TP63" s="41"/>
      <c r="TQ63" s="41"/>
      <c r="TR63" s="41"/>
      <c r="TS63" s="76"/>
      <c r="TT63" s="41"/>
      <c r="TU63" s="41"/>
      <c r="TV63" s="41"/>
      <c r="TW63" s="41"/>
      <c r="TX63" s="41"/>
      <c r="TY63" s="42"/>
      <c r="TZ63" s="40"/>
      <c r="UA63" s="66"/>
      <c r="UB63" s="66"/>
      <c r="UC63" s="66"/>
      <c r="UD63" s="41"/>
      <c r="UE63" s="134"/>
      <c r="UF63" s="41"/>
      <c r="UG63" s="41"/>
      <c r="UH63" s="41"/>
      <c r="UI63" s="41"/>
      <c r="UJ63" s="41"/>
      <c r="UK63" s="139"/>
      <c r="UL63" s="41"/>
      <c r="UM63" s="41"/>
      <c r="UN63" s="41"/>
      <c r="UO63" s="41"/>
      <c r="UP63" s="41"/>
      <c r="UQ63" s="76"/>
      <c r="UR63" s="41"/>
      <c r="US63" s="41"/>
      <c r="UT63" s="41"/>
      <c r="UU63" s="41"/>
      <c r="UV63" s="41"/>
      <c r="UW63" s="139"/>
      <c r="UX63" s="41"/>
      <c r="UY63" s="41"/>
      <c r="UZ63" s="41"/>
      <c r="VA63" s="41"/>
      <c r="VB63" s="41"/>
      <c r="VC63" s="76"/>
      <c r="VD63" s="66"/>
      <c r="VE63" s="66"/>
      <c r="VF63" s="66"/>
      <c r="VG63" s="66"/>
      <c r="VH63" s="41"/>
      <c r="VI63" s="139"/>
      <c r="VJ63" s="41"/>
      <c r="VK63" s="41"/>
      <c r="VL63" s="41"/>
      <c r="VM63" s="41"/>
      <c r="VN63" s="41"/>
      <c r="VO63" s="76"/>
      <c r="VP63" s="41"/>
      <c r="VQ63" s="41"/>
      <c r="VR63" s="41"/>
      <c r="VS63" s="41"/>
      <c r="VT63" s="41"/>
      <c r="VU63" s="139"/>
      <c r="VV63" s="41"/>
      <c r="VW63" s="41"/>
      <c r="VX63" s="41"/>
      <c r="VY63" s="41"/>
      <c r="VZ63" s="41"/>
      <c r="WA63" s="76"/>
      <c r="WB63" s="41"/>
      <c r="WC63" s="41"/>
      <c r="WD63" s="41"/>
      <c r="WE63" s="41"/>
      <c r="WF63" s="41"/>
      <c r="WG63" s="42"/>
      <c r="WH63" s="40"/>
      <c r="WI63" s="66"/>
      <c r="WJ63" s="66"/>
      <c r="WK63" s="66"/>
      <c r="WL63" s="41"/>
      <c r="WM63" s="134"/>
      <c r="WN63" s="41"/>
      <c r="WO63" s="41"/>
      <c r="WP63" s="41"/>
      <c r="WQ63" s="41"/>
      <c r="WR63" s="41"/>
      <c r="WS63" s="139"/>
      <c r="WT63" s="41"/>
      <c r="WU63" s="41"/>
      <c r="WV63" s="41"/>
      <c r="WW63" s="41"/>
      <c r="WX63" s="41"/>
      <c r="WY63" s="76"/>
      <c r="WZ63" s="41"/>
      <c r="XA63" s="41"/>
      <c r="XB63" s="41"/>
      <c r="XC63" s="41"/>
      <c r="XD63" s="41"/>
      <c r="XE63" s="139"/>
      <c r="XF63" s="41"/>
      <c r="XG63" s="41"/>
      <c r="XH63" s="41"/>
      <c r="XI63" s="41"/>
      <c r="XJ63" s="41"/>
      <c r="XK63" s="76"/>
      <c r="XL63" s="66"/>
      <c r="XM63" s="66"/>
      <c r="XN63" s="66"/>
      <c r="XO63" s="66"/>
      <c r="XP63" s="41"/>
      <c r="XQ63" s="139"/>
      <c r="XR63" s="41"/>
      <c r="XS63" s="41"/>
      <c r="XT63" s="41"/>
      <c r="XU63" s="41"/>
      <c r="XV63" s="41"/>
      <c r="XW63" s="76"/>
      <c r="XX63" s="41"/>
      <c r="XY63" s="41"/>
      <c r="XZ63" s="41"/>
      <c r="YA63" s="41"/>
      <c r="YB63" s="41"/>
      <c r="YC63" s="139"/>
      <c r="YD63" s="41"/>
      <c r="YE63" s="41"/>
      <c r="YF63" s="41"/>
      <c r="YG63" s="41"/>
      <c r="YH63" s="41"/>
      <c r="YI63" s="76"/>
      <c r="YJ63" s="41"/>
      <c r="YK63" s="41"/>
      <c r="YL63" s="41"/>
      <c r="YM63" s="41"/>
      <c r="YN63" s="41"/>
      <c r="YO63" s="42"/>
      <c r="YP63" s="40"/>
      <c r="YQ63" s="66"/>
      <c r="YR63" s="66"/>
      <c r="YS63" s="66"/>
      <c r="YT63" s="41"/>
      <c r="YU63" s="134"/>
      <c r="YV63" s="41"/>
      <c r="YW63" s="41"/>
      <c r="YX63" s="41"/>
      <c r="YY63" s="41"/>
      <c r="YZ63" s="41"/>
      <c r="ZA63" s="139"/>
      <c r="ZB63" s="41"/>
      <c r="ZC63" s="41"/>
      <c r="ZD63" s="41"/>
      <c r="ZE63" s="41"/>
      <c r="ZF63" s="41"/>
      <c r="ZG63" s="76"/>
      <c r="ZH63" s="41"/>
      <c r="ZI63" s="41"/>
      <c r="ZJ63" s="41"/>
      <c r="ZK63" s="41"/>
      <c r="ZL63" s="41"/>
      <c r="ZM63" s="139"/>
      <c r="ZN63" s="41"/>
      <c r="ZO63" s="41"/>
      <c r="ZP63" s="41"/>
      <c r="ZQ63" s="41"/>
      <c r="ZR63" s="41"/>
      <c r="ZS63" s="76"/>
      <c r="ZT63" s="66"/>
      <c r="ZU63" s="66"/>
      <c r="ZV63" s="66"/>
      <c r="ZW63" s="66"/>
      <c r="ZX63" s="41"/>
      <c r="ZY63" s="139"/>
      <c r="ZZ63" s="41"/>
      <c r="AAA63" s="41"/>
      <c r="AAB63" s="41"/>
      <c r="AAC63" s="41"/>
      <c r="AAD63" s="41"/>
      <c r="AAE63" s="76"/>
      <c r="AAF63" s="41"/>
      <c r="AAG63" s="41"/>
      <c r="AAH63" s="41"/>
      <c r="AAI63" s="41"/>
      <c r="AAJ63" s="41"/>
      <c r="AAK63" s="139"/>
      <c r="AAL63" s="41"/>
      <c r="AAM63" s="41"/>
      <c r="AAN63" s="41"/>
      <c r="AAO63" s="41"/>
      <c r="AAP63" s="41"/>
      <c r="AAQ63" s="76"/>
      <c r="AAR63" s="41"/>
      <c r="AAS63" s="41"/>
      <c r="AAT63" s="41"/>
      <c r="AAU63" s="41"/>
      <c r="AAV63" s="41"/>
      <c r="AAW63" s="42"/>
      <c r="AAX63" s="40"/>
      <c r="AAY63" s="66"/>
      <c r="AAZ63" s="66"/>
      <c r="ABA63" s="66"/>
      <c r="ABB63" s="41"/>
      <c r="ABC63" s="134"/>
      <c r="ABD63" s="41"/>
      <c r="ABE63" s="41"/>
      <c r="ABF63" s="41"/>
      <c r="ABG63" s="41"/>
      <c r="ABH63" s="41"/>
      <c r="ABI63" s="139"/>
      <c r="ABJ63" s="41"/>
      <c r="ABK63" s="41"/>
      <c r="ABL63" s="41"/>
      <c r="ABM63" s="41"/>
      <c r="ABN63" s="41"/>
      <c r="ABO63" s="76"/>
      <c r="ABP63" s="41"/>
      <c r="ABQ63" s="41"/>
      <c r="ABR63" s="41"/>
      <c r="ABS63" s="41"/>
      <c r="ABT63" s="41"/>
      <c r="ABU63" s="139"/>
      <c r="ABV63" s="41"/>
      <c r="ABW63" s="41"/>
      <c r="ABX63" s="41"/>
      <c r="ABY63" s="41"/>
      <c r="ABZ63" s="41"/>
      <c r="ACA63" s="76"/>
      <c r="ACB63" s="66"/>
      <c r="ACC63" s="66"/>
      <c r="ACD63" s="66"/>
      <c r="ACE63" s="66"/>
      <c r="ACF63" s="41"/>
      <c r="ACG63" s="139"/>
      <c r="ACH63" s="41"/>
      <c r="ACI63" s="41"/>
      <c r="ACJ63" s="41"/>
      <c r="ACK63" s="41"/>
      <c r="ACL63" s="41"/>
      <c r="ACM63" s="76"/>
      <c r="ACN63" s="41"/>
      <c r="ACO63" s="41"/>
      <c r="ACP63" s="41"/>
      <c r="ACQ63" s="41"/>
      <c r="ACR63" s="41"/>
      <c r="ACS63" s="139"/>
      <c r="ACT63" s="41"/>
      <c r="ACU63" s="41"/>
      <c r="ACV63" s="41"/>
      <c r="ACW63" s="41"/>
      <c r="ACX63" s="41"/>
      <c r="ACY63" s="76"/>
      <c r="ACZ63" s="41"/>
      <c r="ADA63" s="41"/>
      <c r="ADB63" s="41"/>
      <c r="ADC63" s="41"/>
      <c r="ADD63" s="41"/>
      <c r="ADE63" s="42"/>
      <c r="ADF63" s="40"/>
      <c r="ADG63" s="66"/>
      <c r="ADH63" s="66"/>
      <c r="ADI63" s="66"/>
      <c r="ADJ63" s="41"/>
      <c r="ADK63" s="134"/>
      <c r="ADL63" s="41"/>
      <c r="ADM63" s="41"/>
      <c r="ADN63" s="41"/>
      <c r="ADO63" s="41"/>
      <c r="ADP63" s="41"/>
      <c r="ADQ63" s="139"/>
      <c r="ADR63" s="41"/>
      <c r="ADS63" s="41"/>
      <c r="ADT63" s="41"/>
      <c r="ADU63" s="41"/>
      <c r="ADV63" s="41"/>
      <c r="ADW63" s="76"/>
      <c r="ADX63" s="41"/>
      <c r="ADY63" s="41"/>
      <c r="ADZ63" s="41"/>
      <c r="AEA63" s="41"/>
      <c r="AEB63" s="41"/>
      <c r="AEC63" s="139"/>
      <c r="AED63" s="41"/>
      <c r="AEE63" s="41"/>
      <c r="AEF63" s="41"/>
      <c r="AEG63" s="41"/>
      <c r="AEH63" s="41"/>
      <c r="AEI63" s="76"/>
      <c r="AEJ63" s="66"/>
      <c r="AEK63" s="66"/>
      <c r="AEL63" s="66"/>
      <c r="AEM63" s="66"/>
      <c r="AEN63" s="41"/>
      <c r="AEO63" s="139"/>
      <c r="AEP63" s="41"/>
      <c r="AEQ63" s="41"/>
      <c r="AER63" s="41"/>
      <c r="AES63" s="41"/>
      <c r="AET63" s="41"/>
      <c r="AEU63" s="76"/>
      <c r="AEV63" s="41"/>
      <c r="AEW63" s="41"/>
      <c r="AEX63" s="41"/>
      <c r="AEY63" s="41"/>
      <c r="AEZ63" s="41"/>
      <c r="AFA63" s="139"/>
      <c r="AFB63" s="41"/>
      <c r="AFC63" s="41"/>
      <c r="AFD63" s="41"/>
      <c r="AFE63" s="41"/>
      <c r="AFF63" s="41"/>
      <c r="AFG63" s="76"/>
      <c r="AFH63" s="41"/>
      <c r="AFI63" s="41"/>
      <c r="AFJ63" s="41"/>
      <c r="AFK63" s="41"/>
      <c r="AFL63" s="41"/>
      <c r="AFM63" s="42"/>
      <c r="AFN63" s="90"/>
    </row>
    <row r="64" spans="1:846" ht="20.100000000000001" customHeight="1" x14ac:dyDescent="0.3">
      <c r="A64" s="100" t="s">
        <v>21</v>
      </c>
      <c r="B64" s="63"/>
      <c r="C64" s="219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28"/>
      <c r="RS64" s="67"/>
      <c r="RT64" s="67"/>
      <c r="RU64" s="67"/>
      <c r="RV64" s="29"/>
      <c r="RW64" s="131"/>
      <c r="RX64" s="29"/>
      <c r="RY64" s="29"/>
      <c r="RZ64" s="29"/>
      <c r="SA64" s="29"/>
      <c r="SB64" s="29"/>
      <c r="SC64" s="136"/>
      <c r="SD64" s="29"/>
      <c r="SE64" s="29"/>
      <c r="SF64" s="29"/>
      <c r="SG64" s="29"/>
      <c r="SH64" s="29"/>
      <c r="SI64" s="73"/>
      <c r="SJ64" s="29"/>
      <c r="SK64" s="29"/>
      <c r="SL64" s="29"/>
      <c r="SM64" s="29"/>
      <c r="SN64" s="29"/>
      <c r="SO64" s="136"/>
      <c r="SP64" s="29"/>
      <c r="SQ64" s="29"/>
      <c r="SR64" s="29"/>
      <c r="SS64" s="29"/>
      <c r="ST64" s="29"/>
      <c r="SU64" s="73"/>
      <c r="SV64" s="67"/>
      <c r="SW64" s="67"/>
      <c r="SX64" s="67"/>
      <c r="SY64" s="67"/>
      <c r="SZ64" s="29"/>
      <c r="TA64" s="136"/>
      <c r="TB64" s="29"/>
      <c r="TC64" s="29"/>
      <c r="TD64" s="29"/>
      <c r="TE64" s="29"/>
      <c r="TF64" s="29"/>
      <c r="TG64" s="73"/>
      <c r="TH64" s="29"/>
      <c r="TI64" s="29"/>
      <c r="TJ64" s="29"/>
      <c r="TK64" s="29"/>
      <c r="TL64" s="29"/>
      <c r="TM64" s="136"/>
      <c r="TN64" s="29"/>
      <c r="TO64" s="29"/>
      <c r="TP64" s="29"/>
      <c r="TQ64" s="29"/>
      <c r="TR64" s="29"/>
      <c r="TS64" s="73"/>
      <c r="TT64" s="29"/>
      <c r="TU64" s="29"/>
      <c r="TV64" s="29"/>
      <c r="TW64" s="29"/>
      <c r="TX64" s="29"/>
      <c r="TY64" s="30"/>
      <c r="TZ64" s="28"/>
      <c r="UA64" s="67"/>
      <c r="UB64" s="67"/>
      <c r="UC64" s="67"/>
      <c r="UD64" s="29"/>
      <c r="UE64" s="131"/>
      <c r="UF64" s="29"/>
      <c r="UG64" s="29"/>
      <c r="UH64" s="29"/>
      <c r="UI64" s="29"/>
      <c r="UJ64" s="29"/>
      <c r="UK64" s="136"/>
      <c r="UL64" s="29"/>
      <c r="UM64" s="29"/>
      <c r="UN64" s="29"/>
      <c r="UO64" s="29"/>
      <c r="UP64" s="29"/>
      <c r="UQ64" s="73"/>
      <c r="UR64" s="29"/>
      <c r="US64" s="29"/>
      <c r="UT64" s="29"/>
      <c r="UU64" s="29"/>
      <c r="UV64" s="29"/>
      <c r="UW64" s="136"/>
      <c r="UX64" s="29"/>
      <c r="UY64" s="29"/>
      <c r="UZ64" s="29"/>
      <c r="VA64" s="29"/>
      <c r="VB64" s="29"/>
      <c r="VC64" s="73"/>
      <c r="VD64" s="67"/>
      <c r="VE64" s="67"/>
      <c r="VF64" s="67"/>
      <c r="VG64" s="67"/>
      <c r="VH64" s="29"/>
      <c r="VI64" s="136"/>
      <c r="VJ64" s="29"/>
      <c r="VK64" s="29"/>
      <c r="VL64" s="29"/>
      <c r="VM64" s="29"/>
      <c r="VN64" s="29"/>
      <c r="VO64" s="73"/>
      <c r="VP64" s="29"/>
      <c r="VQ64" s="29"/>
      <c r="VR64" s="29"/>
      <c r="VS64" s="29"/>
      <c r="VT64" s="29"/>
      <c r="VU64" s="136"/>
      <c r="VV64" s="29"/>
      <c r="VW64" s="29"/>
      <c r="VX64" s="29"/>
      <c r="VY64" s="29"/>
      <c r="VZ64" s="29"/>
      <c r="WA64" s="73"/>
      <c r="WB64" s="29"/>
      <c r="WC64" s="29"/>
      <c r="WD64" s="29"/>
      <c r="WE64" s="29"/>
      <c r="WF64" s="29"/>
      <c r="WG64" s="30"/>
      <c r="WH64" s="28"/>
      <c r="WI64" s="67"/>
      <c r="WJ64" s="67"/>
      <c r="WK64" s="67"/>
      <c r="WL64" s="29"/>
      <c r="WM64" s="131"/>
      <c r="WN64" s="29"/>
      <c r="WO64" s="29"/>
      <c r="WP64" s="29"/>
      <c r="WQ64" s="29"/>
      <c r="WR64" s="29"/>
      <c r="WS64" s="136"/>
      <c r="WT64" s="29"/>
      <c r="WU64" s="29"/>
      <c r="WV64" s="29"/>
      <c r="WW64" s="29"/>
      <c r="WX64" s="29"/>
      <c r="WY64" s="73"/>
      <c r="WZ64" s="29"/>
      <c r="XA64" s="29"/>
      <c r="XB64" s="29"/>
      <c r="XC64" s="29"/>
      <c r="XD64" s="29"/>
      <c r="XE64" s="136"/>
      <c r="XF64" s="29"/>
      <c r="XG64" s="29"/>
      <c r="XH64" s="29"/>
      <c r="XI64" s="29"/>
      <c r="XJ64" s="29"/>
      <c r="XK64" s="73"/>
      <c r="XL64" s="67"/>
      <c r="XM64" s="67"/>
      <c r="XN64" s="67"/>
      <c r="XO64" s="67"/>
      <c r="XP64" s="29"/>
      <c r="XQ64" s="136"/>
      <c r="XR64" s="29"/>
      <c r="XS64" s="29"/>
      <c r="XT64" s="29"/>
      <c r="XU64" s="29"/>
      <c r="XV64" s="29"/>
      <c r="XW64" s="73"/>
      <c r="XX64" s="29"/>
      <c r="XY64" s="29"/>
      <c r="XZ64" s="29"/>
      <c r="YA64" s="29"/>
      <c r="YB64" s="29"/>
      <c r="YC64" s="136"/>
      <c r="YD64" s="29"/>
      <c r="YE64" s="29"/>
      <c r="YF64" s="29"/>
      <c r="YG64" s="29"/>
      <c r="YH64" s="29"/>
      <c r="YI64" s="73"/>
      <c r="YJ64" s="29"/>
      <c r="YK64" s="29"/>
      <c r="YL64" s="29"/>
      <c r="YM64" s="29"/>
      <c r="YN64" s="29"/>
      <c r="YO64" s="30"/>
      <c r="YP64" s="28"/>
      <c r="YQ64" s="67"/>
      <c r="YR64" s="67"/>
      <c r="YS64" s="67"/>
      <c r="YT64" s="29"/>
      <c r="YU64" s="131"/>
      <c r="YV64" s="29"/>
      <c r="YW64" s="29"/>
      <c r="YX64" s="29"/>
      <c r="YY64" s="29"/>
      <c r="YZ64" s="29"/>
      <c r="ZA64" s="136"/>
      <c r="ZB64" s="29"/>
      <c r="ZC64" s="29"/>
      <c r="ZD64" s="29"/>
      <c r="ZE64" s="29"/>
      <c r="ZF64" s="29"/>
      <c r="ZG64" s="73"/>
      <c r="ZH64" s="29"/>
      <c r="ZI64" s="29"/>
      <c r="ZJ64" s="29"/>
      <c r="ZK64" s="29"/>
      <c r="ZL64" s="29"/>
      <c r="ZM64" s="136"/>
      <c r="ZN64" s="29"/>
      <c r="ZO64" s="29"/>
      <c r="ZP64" s="29"/>
      <c r="ZQ64" s="29"/>
      <c r="ZR64" s="29"/>
      <c r="ZS64" s="73"/>
      <c r="ZT64" s="67"/>
      <c r="ZU64" s="67"/>
      <c r="ZV64" s="67"/>
      <c r="ZW64" s="67"/>
      <c r="ZX64" s="29"/>
      <c r="ZY64" s="136"/>
      <c r="ZZ64" s="29"/>
      <c r="AAA64" s="29"/>
      <c r="AAB64" s="29"/>
      <c r="AAC64" s="29"/>
      <c r="AAD64" s="29"/>
      <c r="AAE64" s="73"/>
      <c r="AAF64" s="29"/>
      <c r="AAG64" s="29"/>
      <c r="AAH64" s="29"/>
      <c r="AAI64" s="29"/>
      <c r="AAJ64" s="29"/>
      <c r="AAK64" s="136"/>
      <c r="AAL64" s="29"/>
      <c r="AAM64" s="29"/>
      <c r="AAN64" s="29"/>
      <c r="AAO64" s="29"/>
      <c r="AAP64" s="29"/>
      <c r="AAQ64" s="73"/>
      <c r="AAR64" s="29"/>
      <c r="AAS64" s="29"/>
      <c r="AAT64" s="29"/>
      <c r="AAU64" s="29"/>
      <c r="AAV64" s="29"/>
      <c r="AAW64" s="30"/>
      <c r="AAX64" s="28"/>
      <c r="AAY64" s="67"/>
      <c r="AAZ64" s="67"/>
      <c r="ABA64" s="67"/>
      <c r="ABB64" s="29"/>
      <c r="ABC64" s="131"/>
      <c r="ABD64" s="29"/>
      <c r="ABE64" s="29"/>
      <c r="ABF64" s="29"/>
      <c r="ABG64" s="29"/>
      <c r="ABH64" s="29"/>
      <c r="ABI64" s="136"/>
      <c r="ABJ64" s="29"/>
      <c r="ABK64" s="29"/>
      <c r="ABL64" s="29"/>
      <c r="ABM64" s="29"/>
      <c r="ABN64" s="29"/>
      <c r="ABO64" s="73"/>
      <c r="ABP64" s="29"/>
      <c r="ABQ64" s="29"/>
      <c r="ABR64" s="29"/>
      <c r="ABS64" s="29"/>
      <c r="ABT64" s="29"/>
      <c r="ABU64" s="136"/>
      <c r="ABV64" s="29"/>
      <c r="ABW64" s="29"/>
      <c r="ABX64" s="29"/>
      <c r="ABY64" s="29"/>
      <c r="ABZ64" s="29"/>
      <c r="ACA64" s="73"/>
      <c r="ACB64" s="67"/>
      <c r="ACC64" s="67"/>
      <c r="ACD64" s="67"/>
      <c r="ACE64" s="67"/>
      <c r="ACF64" s="29"/>
      <c r="ACG64" s="136"/>
      <c r="ACH64" s="29"/>
      <c r="ACI64" s="29"/>
      <c r="ACJ64" s="29"/>
      <c r="ACK64" s="29"/>
      <c r="ACL64" s="29"/>
      <c r="ACM64" s="73"/>
      <c r="ACN64" s="29"/>
      <c r="ACO64" s="29"/>
      <c r="ACP64" s="29"/>
      <c r="ACQ64" s="29"/>
      <c r="ACR64" s="29"/>
      <c r="ACS64" s="136"/>
      <c r="ACT64" s="29"/>
      <c r="ACU64" s="29"/>
      <c r="ACV64" s="29"/>
      <c r="ACW64" s="29"/>
      <c r="ACX64" s="29"/>
      <c r="ACY64" s="73"/>
      <c r="ACZ64" s="29"/>
      <c r="ADA64" s="29"/>
      <c r="ADB64" s="29"/>
      <c r="ADC64" s="29"/>
      <c r="ADD64" s="29"/>
      <c r="ADE64" s="30"/>
      <c r="ADF64" s="28"/>
      <c r="ADG64" s="67"/>
      <c r="ADH64" s="67"/>
      <c r="ADI64" s="67"/>
      <c r="ADJ64" s="29"/>
      <c r="ADK64" s="131"/>
      <c r="ADL64" s="29"/>
      <c r="ADM64" s="29"/>
      <c r="ADN64" s="29"/>
      <c r="ADO64" s="29"/>
      <c r="ADP64" s="29"/>
      <c r="ADQ64" s="136"/>
      <c r="ADR64" s="29"/>
      <c r="ADS64" s="29"/>
      <c r="ADT64" s="29"/>
      <c r="ADU64" s="29"/>
      <c r="ADV64" s="29"/>
      <c r="ADW64" s="73"/>
      <c r="ADX64" s="29"/>
      <c r="ADY64" s="29"/>
      <c r="ADZ64" s="29"/>
      <c r="AEA64" s="29"/>
      <c r="AEB64" s="29"/>
      <c r="AEC64" s="136"/>
      <c r="AED64" s="29"/>
      <c r="AEE64" s="29"/>
      <c r="AEF64" s="29"/>
      <c r="AEG64" s="29"/>
      <c r="AEH64" s="29"/>
      <c r="AEI64" s="73"/>
      <c r="AEJ64" s="67"/>
      <c r="AEK64" s="67"/>
      <c r="AEL64" s="67"/>
      <c r="AEM64" s="67"/>
      <c r="AEN64" s="29"/>
      <c r="AEO64" s="136"/>
      <c r="AEP64" s="29"/>
      <c r="AEQ64" s="29"/>
      <c r="AER64" s="29"/>
      <c r="AES64" s="29"/>
      <c r="AET64" s="29"/>
      <c r="AEU64" s="73"/>
      <c r="AEV64" s="29"/>
      <c r="AEW64" s="29"/>
      <c r="AEX64" s="29"/>
      <c r="AEY64" s="29"/>
      <c r="AEZ64" s="29"/>
      <c r="AFA64" s="136"/>
      <c r="AFB64" s="29"/>
      <c r="AFC64" s="29"/>
      <c r="AFD64" s="29"/>
      <c r="AFE64" s="29"/>
      <c r="AFF64" s="29"/>
      <c r="AFG64" s="73"/>
      <c r="AFH64" s="29"/>
      <c r="AFI64" s="29"/>
      <c r="AFJ64" s="29"/>
      <c r="AFK64" s="29"/>
      <c r="AFL64" s="29"/>
      <c r="AFM64" s="30"/>
      <c r="AFN64" s="90"/>
    </row>
    <row r="65" spans="1:846" ht="20.100000000000001" customHeight="1" x14ac:dyDescent="0.25">
      <c r="A65" s="100" t="s">
        <v>20</v>
      </c>
      <c r="B65" s="63"/>
      <c r="C65" s="218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32"/>
      <c r="RS65" s="64"/>
      <c r="RT65" s="64"/>
      <c r="RU65" s="64"/>
      <c r="RV65" s="33"/>
      <c r="RW65" s="132"/>
      <c r="RX65" s="33"/>
      <c r="RY65" s="33"/>
      <c r="RZ65" s="33"/>
      <c r="SA65" s="33"/>
      <c r="SB65" s="33"/>
      <c r="SC65" s="137"/>
      <c r="SD65" s="33"/>
      <c r="SE65" s="33"/>
      <c r="SF65" s="33"/>
      <c r="SG65" s="33"/>
      <c r="SH65" s="33"/>
      <c r="SI65" s="74"/>
      <c r="SJ65" s="33"/>
      <c r="SK65" s="33"/>
      <c r="SL65" s="33"/>
      <c r="SM65" s="33"/>
      <c r="SN65" s="33"/>
      <c r="SO65" s="137"/>
      <c r="SP65" s="33"/>
      <c r="SQ65" s="33"/>
      <c r="SR65" s="33"/>
      <c r="SS65" s="33"/>
      <c r="ST65" s="33"/>
      <c r="SU65" s="74"/>
      <c r="SV65" s="64"/>
      <c r="SW65" s="64"/>
      <c r="SX65" s="64"/>
      <c r="SY65" s="64"/>
      <c r="SZ65" s="33"/>
      <c r="TA65" s="137"/>
      <c r="TB65" s="33"/>
      <c r="TC65" s="33"/>
      <c r="TD65" s="33"/>
      <c r="TE65" s="33"/>
      <c r="TF65" s="33"/>
      <c r="TG65" s="74"/>
      <c r="TH65" s="33"/>
      <c r="TI65" s="33"/>
      <c r="TJ65" s="33"/>
      <c r="TK65" s="33"/>
      <c r="TL65" s="33"/>
      <c r="TM65" s="137"/>
      <c r="TN65" s="33"/>
      <c r="TO65" s="33"/>
      <c r="TP65" s="33"/>
      <c r="TQ65" s="33"/>
      <c r="TR65" s="33"/>
      <c r="TS65" s="74"/>
      <c r="TT65" s="33"/>
      <c r="TU65" s="33"/>
      <c r="TV65" s="33"/>
      <c r="TW65" s="33"/>
      <c r="TX65" s="33"/>
      <c r="TY65" s="34"/>
      <c r="TZ65" s="32"/>
      <c r="UA65" s="64"/>
      <c r="UB65" s="64"/>
      <c r="UC65" s="64"/>
      <c r="UD65" s="33"/>
      <c r="UE65" s="132"/>
      <c r="UF65" s="33"/>
      <c r="UG65" s="33"/>
      <c r="UH65" s="33"/>
      <c r="UI65" s="33"/>
      <c r="UJ65" s="33"/>
      <c r="UK65" s="137"/>
      <c r="UL65" s="33"/>
      <c r="UM65" s="33"/>
      <c r="UN65" s="33"/>
      <c r="UO65" s="33"/>
      <c r="UP65" s="33"/>
      <c r="UQ65" s="74"/>
      <c r="UR65" s="33"/>
      <c r="US65" s="33"/>
      <c r="UT65" s="33"/>
      <c r="UU65" s="33"/>
      <c r="UV65" s="33"/>
      <c r="UW65" s="137"/>
      <c r="UX65" s="33"/>
      <c r="UY65" s="33"/>
      <c r="UZ65" s="33"/>
      <c r="VA65" s="33"/>
      <c r="VB65" s="33"/>
      <c r="VC65" s="74"/>
      <c r="VD65" s="64"/>
      <c r="VE65" s="64"/>
      <c r="VF65" s="64"/>
      <c r="VG65" s="64"/>
      <c r="VH65" s="33"/>
      <c r="VI65" s="137"/>
      <c r="VJ65" s="33"/>
      <c r="VK65" s="33"/>
      <c r="VL65" s="33"/>
      <c r="VM65" s="33"/>
      <c r="VN65" s="33"/>
      <c r="VO65" s="74"/>
      <c r="VP65" s="33"/>
      <c r="VQ65" s="33"/>
      <c r="VR65" s="33"/>
      <c r="VS65" s="33"/>
      <c r="VT65" s="33"/>
      <c r="VU65" s="137"/>
      <c r="VV65" s="33"/>
      <c r="VW65" s="33"/>
      <c r="VX65" s="33"/>
      <c r="VY65" s="33"/>
      <c r="VZ65" s="33"/>
      <c r="WA65" s="74"/>
      <c r="WB65" s="33"/>
      <c r="WC65" s="33"/>
      <c r="WD65" s="33"/>
      <c r="WE65" s="33"/>
      <c r="WF65" s="33"/>
      <c r="WG65" s="34"/>
      <c r="WH65" s="32"/>
      <c r="WI65" s="64"/>
      <c r="WJ65" s="64"/>
      <c r="WK65" s="64"/>
      <c r="WL65" s="33"/>
      <c r="WM65" s="132"/>
      <c r="WN65" s="33"/>
      <c r="WO65" s="33"/>
      <c r="WP65" s="33"/>
      <c r="WQ65" s="33"/>
      <c r="WR65" s="33"/>
      <c r="WS65" s="137"/>
      <c r="WT65" s="33"/>
      <c r="WU65" s="33"/>
      <c r="WV65" s="33"/>
      <c r="WW65" s="33"/>
      <c r="WX65" s="33"/>
      <c r="WY65" s="74"/>
      <c r="WZ65" s="33"/>
      <c r="XA65" s="33"/>
      <c r="XB65" s="33"/>
      <c r="XC65" s="33"/>
      <c r="XD65" s="33"/>
      <c r="XE65" s="137"/>
      <c r="XF65" s="33"/>
      <c r="XG65" s="33"/>
      <c r="XH65" s="33"/>
      <c r="XI65" s="33"/>
      <c r="XJ65" s="33"/>
      <c r="XK65" s="74"/>
      <c r="XL65" s="64"/>
      <c r="XM65" s="64"/>
      <c r="XN65" s="64"/>
      <c r="XO65" s="64"/>
      <c r="XP65" s="33"/>
      <c r="XQ65" s="137"/>
      <c r="XR65" s="33"/>
      <c r="XS65" s="33"/>
      <c r="XT65" s="33"/>
      <c r="XU65" s="33"/>
      <c r="XV65" s="33"/>
      <c r="XW65" s="74"/>
      <c r="XX65" s="33"/>
      <c r="XY65" s="33"/>
      <c r="XZ65" s="33"/>
      <c r="YA65" s="33"/>
      <c r="YB65" s="33"/>
      <c r="YC65" s="137"/>
      <c r="YD65" s="33"/>
      <c r="YE65" s="33"/>
      <c r="YF65" s="33"/>
      <c r="YG65" s="33"/>
      <c r="YH65" s="33"/>
      <c r="YI65" s="74"/>
      <c r="YJ65" s="33"/>
      <c r="YK65" s="33"/>
      <c r="YL65" s="33"/>
      <c r="YM65" s="33"/>
      <c r="YN65" s="33"/>
      <c r="YO65" s="34"/>
      <c r="YP65" s="32"/>
      <c r="YQ65" s="64"/>
      <c r="YR65" s="64"/>
      <c r="YS65" s="64"/>
      <c r="YT65" s="33"/>
      <c r="YU65" s="132"/>
      <c r="YV65" s="33"/>
      <c r="YW65" s="33"/>
      <c r="YX65" s="33"/>
      <c r="YY65" s="33"/>
      <c r="YZ65" s="33"/>
      <c r="ZA65" s="137"/>
      <c r="ZB65" s="33"/>
      <c r="ZC65" s="33"/>
      <c r="ZD65" s="33"/>
      <c r="ZE65" s="33"/>
      <c r="ZF65" s="33"/>
      <c r="ZG65" s="74"/>
      <c r="ZH65" s="33"/>
      <c r="ZI65" s="33"/>
      <c r="ZJ65" s="33"/>
      <c r="ZK65" s="33"/>
      <c r="ZL65" s="33"/>
      <c r="ZM65" s="137"/>
      <c r="ZN65" s="33"/>
      <c r="ZO65" s="33"/>
      <c r="ZP65" s="33"/>
      <c r="ZQ65" s="33"/>
      <c r="ZR65" s="33"/>
      <c r="ZS65" s="74"/>
      <c r="ZT65" s="64"/>
      <c r="ZU65" s="64"/>
      <c r="ZV65" s="64"/>
      <c r="ZW65" s="64"/>
      <c r="ZX65" s="33"/>
      <c r="ZY65" s="137"/>
      <c r="ZZ65" s="33"/>
      <c r="AAA65" s="33"/>
      <c r="AAB65" s="33"/>
      <c r="AAC65" s="33"/>
      <c r="AAD65" s="33"/>
      <c r="AAE65" s="74"/>
      <c r="AAF65" s="33"/>
      <c r="AAG65" s="33"/>
      <c r="AAH65" s="33"/>
      <c r="AAI65" s="33"/>
      <c r="AAJ65" s="33"/>
      <c r="AAK65" s="137"/>
      <c r="AAL65" s="33"/>
      <c r="AAM65" s="33"/>
      <c r="AAN65" s="33"/>
      <c r="AAO65" s="33"/>
      <c r="AAP65" s="33"/>
      <c r="AAQ65" s="74"/>
      <c r="AAR65" s="33"/>
      <c r="AAS65" s="33"/>
      <c r="AAT65" s="33"/>
      <c r="AAU65" s="33"/>
      <c r="AAV65" s="33"/>
      <c r="AAW65" s="34"/>
      <c r="AAX65" s="32"/>
      <c r="AAY65" s="64"/>
      <c r="AAZ65" s="64"/>
      <c r="ABA65" s="64"/>
      <c r="ABB65" s="33"/>
      <c r="ABC65" s="132"/>
      <c r="ABD65" s="33"/>
      <c r="ABE65" s="33"/>
      <c r="ABF65" s="33"/>
      <c r="ABG65" s="33"/>
      <c r="ABH65" s="33"/>
      <c r="ABI65" s="137"/>
      <c r="ABJ65" s="33"/>
      <c r="ABK65" s="33"/>
      <c r="ABL65" s="33"/>
      <c r="ABM65" s="33"/>
      <c r="ABN65" s="33"/>
      <c r="ABO65" s="74"/>
      <c r="ABP65" s="33"/>
      <c r="ABQ65" s="33"/>
      <c r="ABR65" s="33"/>
      <c r="ABS65" s="33"/>
      <c r="ABT65" s="33"/>
      <c r="ABU65" s="137"/>
      <c r="ABV65" s="33"/>
      <c r="ABW65" s="33"/>
      <c r="ABX65" s="33"/>
      <c r="ABY65" s="33"/>
      <c r="ABZ65" s="33"/>
      <c r="ACA65" s="74"/>
      <c r="ACB65" s="64"/>
      <c r="ACC65" s="64"/>
      <c r="ACD65" s="64"/>
      <c r="ACE65" s="64"/>
      <c r="ACF65" s="33"/>
      <c r="ACG65" s="137"/>
      <c r="ACH65" s="33"/>
      <c r="ACI65" s="33"/>
      <c r="ACJ65" s="33"/>
      <c r="ACK65" s="33"/>
      <c r="ACL65" s="33"/>
      <c r="ACM65" s="74"/>
      <c r="ACN65" s="33"/>
      <c r="ACO65" s="33"/>
      <c r="ACP65" s="33"/>
      <c r="ACQ65" s="33"/>
      <c r="ACR65" s="33"/>
      <c r="ACS65" s="137"/>
      <c r="ACT65" s="33"/>
      <c r="ACU65" s="33"/>
      <c r="ACV65" s="33"/>
      <c r="ACW65" s="33"/>
      <c r="ACX65" s="33"/>
      <c r="ACY65" s="74"/>
      <c r="ACZ65" s="33"/>
      <c r="ADA65" s="33"/>
      <c r="ADB65" s="33"/>
      <c r="ADC65" s="33"/>
      <c r="ADD65" s="33"/>
      <c r="ADE65" s="34"/>
      <c r="ADF65" s="32"/>
      <c r="ADG65" s="64"/>
      <c r="ADH65" s="64"/>
      <c r="ADI65" s="64"/>
      <c r="ADJ65" s="33"/>
      <c r="ADK65" s="132"/>
      <c r="ADL65" s="33"/>
      <c r="ADM65" s="33"/>
      <c r="ADN65" s="33"/>
      <c r="ADO65" s="33"/>
      <c r="ADP65" s="33"/>
      <c r="ADQ65" s="137"/>
      <c r="ADR65" s="33"/>
      <c r="ADS65" s="33"/>
      <c r="ADT65" s="33"/>
      <c r="ADU65" s="33"/>
      <c r="ADV65" s="33"/>
      <c r="ADW65" s="74"/>
      <c r="ADX65" s="33"/>
      <c r="ADY65" s="33"/>
      <c r="ADZ65" s="33"/>
      <c r="AEA65" s="33"/>
      <c r="AEB65" s="33"/>
      <c r="AEC65" s="137"/>
      <c r="AED65" s="33"/>
      <c r="AEE65" s="33"/>
      <c r="AEF65" s="33"/>
      <c r="AEG65" s="33"/>
      <c r="AEH65" s="33"/>
      <c r="AEI65" s="74"/>
      <c r="AEJ65" s="64"/>
      <c r="AEK65" s="64"/>
      <c r="AEL65" s="64"/>
      <c r="AEM65" s="64"/>
      <c r="AEN65" s="33"/>
      <c r="AEO65" s="137"/>
      <c r="AEP65" s="33"/>
      <c r="AEQ65" s="33"/>
      <c r="AER65" s="33"/>
      <c r="AES65" s="33"/>
      <c r="AET65" s="33"/>
      <c r="AEU65" s="74"/>
      <c r="AEV65" s="33"/>
      <c r="AEW65" s="33"/>
      <c r="AEX65" s="33"/>
      <c r="AEY65" s="33"/>
      <c r="AEZ65" s="33"/>
      <c r="AFA65" s="137"/>
      <c r="AFB65" s="33"/>
      <c r="AFC65" s="33"/>
      <c r="AFD65" s="33"/>
      <c r="AFE65" s="33"/>
      <c r="AFF65" s="33"/>
      <c r="AFG65" s="74"/>
      <c r="AFH65" s="33"/>
      <c r="AFI65" s="33"/>
      <c r="AFJ65" s="33"/>
      <c r="AFK65" s="33"/>
      <c r="AFL65" s="33"/>
      <c r="AFM65" s="34"/>
      <c r="AFN65" s="90"/>
    </row>
    <row r="66" spans="1:846" ht="20.100000000000001" customHeight="1" x14ac:dyDescent="0.3">
      <c r="A66" s="100" t="s">
        <v>21</v>
      </c>
      <c r="B66" s="63"/>
      <c r="C66" s="219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36"/>
      <c r="RS66" s="65"/>
      <c r="RT66" s="65"/>
      <c r="RU66" s="65"/>
      <c r="RV66" s="37"/>
      <c r="RW66" s="133"/>
      <c r="RX66" s="37"/>
      <c r="RY66" s="37"/>
      <c r="RZ66" s="37"/>
      <c r="SA66" s="37"/>
      <c r="SB66" s="37"/>
      <c r="SC66" s="138"/>
      <c r="SD66" s="37"/>
      <c r="SE66" s="37"/>
      <c r="SF66" s="37"/>
      <c r="SG66" s="37"/>
      <c r="SH66" s="37"/>
      <c r="SI66" s="75"/>
      <c r="SJ66" s="37"/>
      <c r="SK66" s="37"/>
      <c r="SL66" s="37"/>
      <c r="SM66" s="37"/>
      <c r="SN66" s="37"/>
      <c r="SO66" s="138"/>
      <c r="SP66" s="37"/>
      <c r="SQ66" s="37"/>
      <c r="SR66" s="37"/>
      <c r="SS66" s="37"/>
      <c r="ST66" s="37"/>
      <c r="SU66" s="75"/>
      <c r="SV66" s="65"/>
      <c r="SW66" s="65"/>
      <c r="SX66" s="65"/>
      <c r="SY66" s="65"/>
      <c r="SZ66" s="37"/>
      <c r="TA66" s="138"/>
      <c r="TB66" s="37"/>
      <c r="TC66" s="37"/>
      <c r="TD66" s="37"/>
      <c r="TE66" s="37"/>
      <c r="TF66" s="37"/>
      <c r="TG66" s="75"/>
      <c r="TH66" s="37"/>
      <c r="TI66" s="37"/>
      <c r="TJ66" s="37"/>
      <c r="TK66" s="37"/>
      <c r="TL66" s="37"/>
      <c r="TM66" s="138"/>
      <c r="TN66" s="37"/>
      <c r="TO66" s="37"/>
      <c r="TP66" s="37"/>
      <c r="TQ66" s="37"/>
      <c r="TR66" s="37"/>
      <c r="TS66" s="75"/>
      <c r="TT66" s="37"/>
      <c r="TU66" s="37"/>
      <c r="TV66" s="37"/>
      <c r="TW66" s="37"/>
      <c r="TX66" s="37"/>
      <c r="TY66" s="38"/>
      <c r="TZ66" s="36"/>
      <c r="UA66" s="65"/>
      <c r="UB66" s="65"/>
      <c r="UC66" s="65"/>
      <c r="UD66" s="37"/>
      <c r="UE66" s="133"/>
      <c r="UF66" s="37"/>
      <c r="UG66" s="37"/>
      <c r="UH66" s="37"/>
      <c r="UI66" s="37"/>
      <c r="UJ66" s="37"/>
      <c r="UK66" s="138"/>
      <c r="UL66" s="37"/>
      <c r="UM66" s="37"/>
      <c r="UN66" s="37"/>
      <c r="UO66" s="37"/>
      <c r="UP66" s="37"/>
      <c r="UQ66" s="75"/>
      <c r="UR66" s="37"/>
      <c r="US66" s="37"/>
      <c r="UT66" s="37"/>
      <c r="UU66" s="37"/>
      <c r="UV66" s="37"/>
      <c r="UW66" s="138"/>
      <c r="UX66" s="37"/>
      <c r="UY66" s="37"/>
      <c r="UZ66" s="37"/>
      <c r="VA66" s="37"/>
      <c r="VB66" s="37"/>
      <c r="VC66" s="75"/>
      <c r="VD66" s="65"/>
      <c r="VE66" s="65"/>
      <c r="VF66" s="65"/>
      <c r="VG66" s="65"/>
      <c r="VH66" s="37"/>
      <c r="VI66" s="138"/>
      <c r="VJ66" s="37"/>
      <c r="VK66" s="37"/>
      <c r="VL66" s="37"/>
      <c r="VM66" s="37"/>
      <c r="VN66" s="37"/>
      <c r="VO66" s="75"/>
      <c r="VP66" s="37"/>
      <c r="VQ66" s="37"/>
      <c r="VR66" s="37"/>
      <c r="VS66" s="37"/>
      <c r="VT66" s="37"/>
      <c r="VU66" s="138"/>
      <c r="VV66" s="37"/>
      <c r="VW66" s="37"/>
      <c r="VX66" s="37"/>
      <c r="VY66" s="37"/>
      <c r="VZ66" s="37"/>
      <c r="WA66" s="75"/>
      <c r="WB66" s="37"/>
      <c r="WC66" s="37"/>
      <c r="WD66" s="37"/>
      <c r="WE66" s="37"/>
      <c r="WF66" s="37"/>
      <c r="WG66" s="38"/>
      <c r="WH66" s="36"/>
      <c r="WI66" s="65"/>
      <c r="WJ66" s="65"/>
      <c r="WK66" s="65"/>
      <c r="WL66" s="37"/>
      <c r="WM66" s="133"/>
      <c r="WN66" s="37"/>
      <c r="WO66" s="37"/>
      <c r="WP66" s="37"/>
      <c r="WQ66" s="37"/>
      <c r="WR66" s="37"/>
      <c r="WS66" s="138"/>
      <c r="WT66" s="37"/>
      <c r="WU66" s="37"/>
      <c r="WV66" s="37"/>
      <c r="WW66" s="37"/>
      <c r="WX66" s="37"/>
      <c r="WY66" s="75"/>
      <c r="WZ66" s="37"/>
      <c r="XA66" s="37"/>
      <c r="XB66" s="37"/>
      <c r="XC66" s="37"/>
      <c r="XD66" s="37"/>
      <c r="XE66" s="138"/>
      <c r="XF66" s="37"/>
      <c r="XG66" s="37"/>
      <c r="XH66" s="37"/>
      <c r="XI66" s="37"/>
      <c r="XJ66" s="37"/>
      <c r="XK66" s="75"/>
      <c r="XL66" s="65"/>
      <c r="XM66" s="65"/>
      <c r="XN66" s="65"/>
      <c r="XO66" s="65"/>
      <c r="XP66" s="37"/>
      <c r="XQ66" s="138"/>
      <c r="XR66" s="37"/>
      <c r="XS66" s="37"/>
      <c r="XT66" s="37"/>
      <c r="XU66" s="37"/>
      <c r="XV66" s="37"/>
      <c r="XW66" s="75"/>
      <c r="XX66" s="37"/>
      <c r="XY66" s="37"/>
      <c r="XZ66" s="37"/>
      <c r="YA66" s="37"/>
      <c r="YB66" s="37"/>
      <c r="YC66" s="138"/>
      <c r="YD66" s="37"/>
      <c r="YE66" s="37"/>
      <c r="YF66" s="37"/>
      <c r="YG66" s="37"/>
      <c r="YH66" s="37"/>
      <c r="YI66" s="75"/>
      <c r="YJ66" s="37"/>
      <c r="YK66" s="37"/>
      <c r="YL66" s="37"/>
      <c r="YM66" s="37"/>
      <c r="YN66" s="37"/>
      <c r="YO66" s="38"/>
      <c r="YP66" s="36"/>
      <c r="YQ66" s="65"/>
      <c r="YR66" s="65"/>
      <c r="YS66" s="65"/>
      <c r="YT66" s="37"/>
      <c r="YU66" s="133"/>
      <c r="YV66" s="37"/>
      <c r="YW66" s="37"/>
      <c r="YX66" s="37"/>
      <c r="YY66" s="37"/>
      <c r="YZ66" s="37"/>
      <c r="ZA66" s="138"/>
      <c r="ZB66" s="37"/>
      <c r="ZC66" s="37"/>
      <c r="ZD66" s="37"/>
      <c r="ZE66" s="37"/>
      <c r="ZF66" s="37"/>
      <c r="ZG66" s="75"/>
      <c r="ZH66" s="37"/>
      <c r="ZI66" s="37"/>
      <c r="ZJ66" s="37"/>
      <c r="ZK66" s="37"/>
      <c r="ZL66" s="37"/>
      <c r="ZM66" s="138"/>
      <c r="ZN66" s="37"/>
      <c r="ZO66" s="37"/>
      <c r="ZP66" s="37"/>
      <c r="ZQ66" s="37"/>
      <c r="ZR66" s="37"/>
      <c r="ZS66" s="75"/>
      <c r="ZT66" s="65"/>
      <c r="ZU66" s="65"/>
      <c r="ZV66" s="65"/>
      <c r="ZW66" s="65"/>
      <c r="ZX66" s="37"/>
      <c r="ZY66" s="138"/>
      <c r="ZZ66" s="37"/>
      <c r="AAA66" s="37"/>
      <c r="AAB66" s="37"/>
      <c r="AAC66" s="37"/>
      <c r="AAD66" s="37"/>
      <c r="AAE66" s="75"/>
      <c r="AAF66" s="37"/>
      <c r="AAG66" s="37"/>
      <c r="AAH66" s="37"/>
      <c r="AAI66" s="37"/>
      <c r="AAJ66" s="37"/>
      <c r="AAK66" s="138"/>
      <c r="AAL66" s="37"/>
      <c r="AAM66" s="37"/>
      <c r="AAN66" s="37"/>
      <c r="AAO66" s="37"/>
      <c r="AAP66" s="37"/>
      <c r="AAQ66" s="75"/>
      <c r="AAR66" s="37"/>
      <c r="AAS66" s="37"/>
      <c r="AAT66" s="37"/>
      <c r="AAU66" s="37"/>
      <c r="AAV66" s="37"/>
      <c r="AAW66" s="38"/>
      <c r="AAX66" s="36"/>
      <c r="AAY66" s="65"/>
      <c r="AAZ66" s="65"/>
      <c r="ABA66" s="65"/>
      <c r="ABB66" s="37"/>
      <c r="ABC66" s="133"/>
      <c r="ABD66" s="37"/>
      <c r="ABE66" s="37"/>
      <c r="ABF66" s="37"/>
      <c r="ABG66" s="37"/>
      <c r="ABH66" s="37"/>
      <c r="ABI66" s="138"/>
      <c r="ABJ66" s="37"/>
      <c r="ABK66" s="37"/>
      <c r="ABL66" s="37"/>
      <c r="ABM66" s="37"/>
      <c r="ABN66" s="37"/>
      <c r="ABO66" s="75"/>
      <c r="ABP66" s="37"/>
      <c r="ABQ66" s="37"/>
      <c r="ABR66" s="37"/>
      <c r="ABS66" s="37"/>
      <c r="ABT66" s="37"/>
      <c r="ABU66" s="138"/>
      <c r="ABV66" s="37"/>
      <c r="ABW66" s="37"/>
      <c r="ABX66" s="37"/>
      <c r="ABY66" s="37"/>
      <c r="ABZ66" s="37"/>
      <c r="ACA66" s="75"/>
      <c r="ACB66" s="65"/>
      <c r="ACC66" s="65"/>
      <c r="ACD66" s="65"/>
      <c r="ACE66" s="65"/>
      <c r="ACF66" s="37"/>
      <c r="ACG66" s="138"/>
      <c r="ACH66" s="37"/>
      <c r="ACI66" s="37"/>
      <c r="ACJ66" s="37"/>
      <c r="ACK66" s="37"/>
      <c r="ACL66" s="37"/>
      <c r="ACM66" s="75"/>
      <c r="ACN66" s="37"/>
      <c r="ACO66" s="37"/>
      <c r="ACP66" s="37"/>
      <c r="ACQ66" s="37"/>
      <c r="ACR66" s="37"/>
      <c r="ACS66" s="138"/>
      <c r="ACT66" s="37"/>
      <c r="ACU66" s="37"/>
      <c r="ACV66" s="37"/>
      <c r="ACW66" s="37"/>
      <c r="ACX66" s="37"/>
      <c r="ACY66" s="75"/>
      <c r="ACZ66" s="37"/>
      <c r="ADA66" s="37"/>
      <c r="ADB66" s="37"/>
      <c r="ADC66" s="37"/>
      <c r="ADD66" s="37"/>
      <c r="ADE66" s="38"/>
      <c r="ADF66" s="36"/>
      <c r="ADG66" s="65"/>
      <c r="ADH66" s="65"/>
      <c r="ADI66" s="65"/>
      <c r="ADJ66" s="37"/>
      <c r="ADK66" s="133"/>
      <c r="ADL66" s="37"/>
      <c r="ADM66" s="37"/>
      <c r="ADN66" s="37"/>
      <c r="ADO66" s="37"/>
      <c r="ADP66" s="37"/>
      <c r="ADQ66" s="138"/>
      <c r="ADR66" s="37"/>
      <c r="ADS66" s="37"/>
      <c r="ADT66" s="37"/>
      <c r="ADU66" s="37"/>
      <c r="ADV66" s="37"/>
      <c r="ADW66" s="75"/>
      <c r="ADX66" s="37"/>
      <c r="ADY66" s="37"/>
      <c r="ADZ66" s="37"/>
      <c r="AEA66" s="37"/>
      <c r="AEB66" s="37"/>
      <c r="AEC66" s="138"/>
      <c r="AED66" s="37"/>
      <c r="AEE66" s="37"/>
      <c r="AEF66" s="37"/>
      <c r="AEG66" s="37"/>
      <c r="AEH66" s="37"/>
      <c r="AEI66" s="75"/>
      <c r="AEJ66" s="65"/>
      <c r="AEK66" s="65"/>
      <c r="AEL66" s="65"/>
      <c r="AEM66" s="65"/>
      <c r="AEN66" s="37"/>
      <c r="AEO66" s="138"/>
      <c r="AEP66" s="37"/>
      <c r="AEQ66" s="37"/>
      <c r="AER66" s="37"/>
      <c r="AES66" s="37"/>
      <c r="AET66" s="37"/>
      <c r="AEU66" s="75"/>
      <c r="AEV66" s="37"/>
      <c r="AEW66" s="37"/>
      <c r="AEX66" s="37"/>
      <c r="AEY66" s="37"/>
      <c r="AEZ66" s="37"/>
      <c r="AFA66" s="138"/>
      <c r="AFB66" s="37"/>
      <c r="AFC66" s="37"/>
      <c r="AFD66" s="37"/>
      <c r="AFE66" s="37"/>
      <c r="AFF66" s="37"/>
      <c r="AFG66" s="75"/>
      <c r="AFH66" s="37"/>
      <c r="AFI66" s="37"/>
      <c r="AFJ66" s="37"/>
      <c r="AFK66" s="37"/>
      <c r="AFL66" s="37"/>
      <c r="AFM66" s="38"/>
      <c r="AFN66" s="90"/>
    </row>
    <row r="67" spans="1:846" ht="20.100000000000001" customHeight="1" x14ac:dyDescent="0.25">
      <c r="A67" s="100" t="s">
        <v>20</v>
      </c>
      <c r="B67" s="63"/>
      <c r="C67" s="218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40"/>
      <c r="RS67" s="66"/>
      <c r="RT67" s="66"/>
      <c r="RU67" s="66"/>
      <c r="RV67" s="41"/>
      <c r="RW67" s="134"/>
      <c r="RX67" s="41"/>
      <c r="RY67" s="41"/>
      <c r="RZ67" s="41"/>
      <c r="SA67" s="41"/>
      <c r="SB67" s="41"/>
      <c r="SC67" s="139"/>
      <c r="SD67" s="41"/>
      <c r="SE67" s="41"/>
      <c r="SF67" s="41"/>
      <c r="SG67" s="41"/>
      <c r="SH67" s="41"/>
      <c r="SI67" s="76"/>
      <c r="SJ67" s="41"/>
      <c r="SK67" s="41"/>
      <c r="SL67" s="41"/>
      <c r="SM67" s="41"/>
      <c r="SN67" s="41"/>
      <c r="SO67" s="139"/>
      <c r="SP67" s="41"/>
      <c r="SQ67" s="41"/>
      <c r="SR67" s="41"/>
      <c r="SS67" s="41"/>
      <c r="ST67" s="41"/>
      <c r="SU67" s="76"/>
      <c r="SV67" s="66"/>
      <c r="SW67" s="66"/>
      <c r="SX67" s="66"/>
      <c r="SY67" s="66"/>
      <c r="SZ67" s="41"/>
      <c r="TA67" s="139"/>
      <c r="TB67" s="41"/>
      <c r="TC67" s="41"/>
      <c r="TD67" s="41"/>
      <c r="TE67" s="41"/>
      <c r="TF67" s="41"/>
      <c r="TG67" s="76"/>
      <c r="TH67" s="41"/>
      <c r="TI67" s="41"/>
      <c r="TJ67" s="41"/>
      <c r="TK67" s="41"/>
      <c r="TL67" s="41"/>
      <c r="TM67" s="139"/>
      <c r="TN67" s="41"/>
      <c r="TO67" s="41"/>
      <c r="TP67" s="41"/>
      <c r="TQ67" s="41"/>
      <c r="TR67" s="41"/>
      <c r="TS67" s="76"/>
      <c r="TT67" s="41"/>
      <c r="TU67" s="41"/>
      <c r="TV67" s="41"/>
      <c r="TW67" s="41"/>
      <c r="TX67" s="41"/>
      <c r="TY67" s="42"/>
      <c r="TZ67" s="40"/>
      <c r="UA67" s="66"/>
      <c r="UB67" s="66"/>
      <c r="UC67" s="66"/>
      <c r="UD67" s="41"/>
      <c r="UE67" s="134"/>
      <c r="UF67" s="41"/>
      <c r="UG67" s="41"/>
      <c r="UH67" s="41"/>
      <c r="UI67" s="41"/>
      <c r="UJ67" s="41"/>
      <c r="UK67" s="139"/>
      <c r="UL67" s="41"/>
      <c r="UM67" s="41"/>
      <c r="UN67" s="41"/>
      <c r="UO67" s="41"/>
      <c r="UP67" s="41"/>
      <c r="UQ67" s="76"/>
      <c r="UR67" s="41"/>
      <c r="US67" s="41"/>
      <c r="UT67" s="41"/>
      <c r="UU67" s="41"/>
      <c r="UV67" s="41"/>
      <c r="UW67" s="139"/>
      <c r="UX67" s="41"/>
      <c r="UY67" s="41"/>
      <c r="UZ67" s="41"/>
      <c r="VA67" s="41"/>
      <c r="VB67" s="41"/>
      <c r="VC67" s="76"/>
      <c r="VD67" s="66"/>
      <c r="VE67" s="66"/>
      <c r="VF67" s="66"/>
      <c r="VG67" s="66"/>
      <c r="VH67" s="41"/>
      <c r="VI67" s="139"/>
      <c r="VJ67" s="41"/>
      <c r="VK67" s="41"/>
      <c r="VL67" s="41"/>
      <c r="VM67" s="41"/>
      <c r="VN67" s="41"/>
      <c r="VO67" s="76"/>
      <c r="VP67" s="41"/>
      <c r="VQ67" s="41"/>
      <c r="VR67" s="41"/>
      <c r="VS67" s="41"/>
      <c r="VT67" s="41"/>
      <c r="VU67" s="139"/>
      <c r="VV67" s="41"/>
      <c r="VW67" s="41"/>
      <c r="VX67" s="41"/>
      <c r="VY67" s="41"/>
      <c r="VZ67" s="41"/>
      <c r="WA67" s="76"/>
      <c r="WB67" s="41"/>
      <c r="WC67" s="41"/>
      <c r="WD67" s="41"/>
      <c r="WE67" s="41"/>
      <c r="WF67" s="41"/>
      <c r="WG67" s="42"/>
      <c r="WH67" s="40"/>
      <c r="WI67" s="66"/>
      <c r="WJ67" s="66"/>
      <c r="WK67" s="66"/>
      <c r="WL67" s="41"/>
      <c r="WM67" s="134"/>
      <c r="WN67" s="41"/>
      <c r="WO67" s="41"/>
      <c r="WP67" s="41"/>
      <c r="WQ67" s="41"/>
      <c r="WR67" s="41"/>
      <c r="WS67" s="139"/>
      <c r="WT67" s="41"/>
      <c r="WU67" s="41"/>
      <c r="WV67" s="41"/>
      <c r="WW67" s="41"/>
      <c r="WX67" s="41"/>
      <c r="WY67" s="76"/>
      <c r="WZ67" s="41"/>
      <c r="XA67" s="41"/>
      <c r="XB67" s="41"/>
      <c r="XC67" s="41"/>
      <c r="XD67" s="41"/>
      <c r="XE67" s="139"/>
      <c r="XF67" s="41"/>
      <c r="XG67" s="41"/>
      <c r="XH67" s="41"/>
      <c r="XI67" s="41"/>
      <c r="XJ67" s="41"/>
      <c r="XK67" s="76"/>
      <c r="XL67" s="66"/>
      <c r="XM67" s="66"/>
      <c r="XN67" s="66"/>
      <c r="XO67" s="66"/>
      <c r="XP67" s="41"/>
      <c r="XQ67" s="139"/>
      <c r="XR67" s="41"/>
      <c r="XS67" s="41"/>
      <c r="XT67" s="41"/>
      <c r="XU67" s="41"/>
      <c r="XV67" s="41"/>
      <c r="XW67" s="76"/>
      <c r="XX67" s="41"/>
      <c r="XY67" s="41"/>
      <c r="XZ67" s="41"/>
      <c r="YA67" s="41"/>
      <c r="YB67" s="41"/>
      <c r="YC67" s="139"/>
      <c r="YD67" s="41"/>
      <c r="YE67" s="41"/>
      <c r="YF67" s="41"/>
      <c r="YG67" s="41"/>
      <c r="YH67" s="41"/>
      <c r="YI67" s="76"/>
      <c r="YJ67" s="41"/>
      <c r="YK67" s="41"/>
      <c r="YL67" s="41"/>
      <c r="YM67" s="41"/>
      <c r="YN67" s="41"/>
      <c r="YO67" s="42"/>
      <c r="YP67" s="40"/>
      <c r="YQ67" s="66"/>
      <c r="YR67" s="66"/>
      <c r="YS67" s="66"/>
      <c r="YT67" s="41"/>
      <c r="YU67" s="134"/>
      <c r="YV67" s="41"/>
      <c r="YW67" s="41"/>
      <c r="YX67" s="41"/>
      <c r="YY67" s="41"/>
      <c r="YZ67" s="41"/>
      <c r="ZA67" s="139"/>
      <c r="ZB67" s="41"/>
      <c r="ZC67" s="41"/>
      <c r="ZD67" s="41"/>
      <c r="ZE67" s="41"/>
      <c r="ZF67" s="41"/>
      <c r="ZG67" s="76"/>
      <c r="ZH67" s="41"/>
      <c r="ZI67" s="41"/>
      <c r="ZJ67" s="41"/>
      <c r="ZK67" s="41"/>
      <c r="ZL67" s="41"/>
      <c r="ZM67" s="139"/>
      <c r="ZN67" s="41"/>
      <c r="ZO67" s="41"/>
      <c r="ZP67" s="41"/>
      <c r="ZQ67" s="41"/>
      <c r="ZR67" s="41"/>
      <c r="ZS67" s="76"/>
      <c r="ZT67" s="66"/>
      <c r="ZU67" s="66"/>
      <c r="ZV67" s="66"/>
      <c r="ZW67" s="66"/>
      <c r="ZX67" s="41"/>
      <c r="ZY67" s="139"/>
      <c r="ZZ67" s="41"/>
      <c r="AAA67" s="41"/>
      <c r="AAB67" s="41"/>
      <c r="AAC67" s="41"/>
      <c r="AAD67" s="41"/>
      <c r="AAE67" s="76"/>
      <c r="AAF67" s="41"/>
      <c r="AAG67" s="41"/>
      <c r="AAH67" s="41"/>
      <c r="AAI67" s="41"/>
      <c r="AAJ67" s="41"/>
      <c r="AAK67" s="139"/>
      <c r="AAL67" s="41"/>
      <c r="AAM67" s="41"/>
      <c r="AAN67" s="41"/>
      <c r="AAO67" s="41"/>
      <c r="AAP67" s="41"/>
      <c r="AAQ67" s="76"/>
      <c r="AAR67" s="41"/>
      <c r="AAS67" s="41"/>
      <c r="AAT67" s="41"/>
      <c r="AAU67" s="41"/>
      <c r="AAV67" s="41"/>
      <c r="AAW67" s="42"/>
      <c r="AAX67" s="40"/>
      <c r="AAY67" s="66"/>
      <c r="AAZ67" s="66"/>
      <c r="ABA67" s="66"/>
      <c r="ABB67" s="41"/>
      <c r="ABC67" s="134"/>
      <c r="ABD67" s="41"/>
      <c r="ABE67" s="41"/>
      <c r="ABF67" s="41"/>
      <c r="ABG67" s="41"/>
      <c r="ABH67" s="41"/>
      <c r="ABI67" s="139"/>
      <c r="ABJ67" s="41"/>
      <c r="ABK67" s="41"/>
      <c r="ABL67" s="41"/>
      <c r="ABM67" s="41"/>
      <c r="ABN67" s="41"/>
      <c r="ABO67" s="76"/>
      <c r="ABP67" s="41"/>
      <c r="ABQ67" s="41"/>
      <c r="ABR67" s="41"/>
      <c r="ABS67" s="41"/>
      <c r="ABT67" s="41"/>
      <c r="ABU67" s="139"/>
      <c r="ABV67" s="41"/>
      <c r="ABW67" s="41"/>
      <c r="ABX67" s="41"/>
      <c r="ABY67" s="41"/>
      <c r="ABZ67" s="41"/>
      <c r="ACA67" s="76"/>
      <c r="ACB67" s="66"/>
      <c r="ACC67" s="66"/>
      <c r="ACD67" s="66"/>
      <c r="ACE67" s="66"/>
      <c r="ACF67" s="41"/>
      <c r="ACG67" s="139"/>
      <c r="ACH67" s="41"/>
      <c r="ACI67" s="41"/>
      <c r="ACJ67" s="41"/>
      <c r="ACK67" s="41"/>
      <c r="ACL67" s="41"/>
      <c r="ACM67" s="76"/>
      <c r="ACN67" s="41"/>
      <c r="ACO67" s="41"/>
      <c r="ACP67" s="41"/>
      <c r="ACQ67" s="41"/>
      <c r="ACR67" s="41"/>
      <c r="ACS67" s="139"/>
      <c r="ACT67" s="41"/>
      <c r="ACU67" s="41"/>
      <c r="ACV67" s="41"/>
      <c r="ACW67" s="41"/>
      <c r="ACX67" s="41"/>
      <c r="ACY67" s="76"/>
      <c r="ACZ67" s="41"/>
      <c r="ADA67" s="41"/>
      <c r="ADB67" s="41"/>
      <c r="ADC67" s="41"/>
      <c r="ADD67" s="41"/>
      <c r="ADE67" s="42"/>
      <c r="ADF67" s="40"/>
      <c r="ADG67" s="66"/>
      <c r="ADH67" s="66"/>
      <c r="ADI67" s="66"/>
      <c r="ADJ67" s="41"/>
      <c r="ADK67" s="134"/>
      <c r="ADL67" s="41"/>
      <c r="ADM67" s="41"/>
      <c r="ADN67" s="41"/>
      <c r="ADO67" s="41"/>
      <c r="ADP67" s="41"/>
      <c r="ADQ67" s="139"/>
      <c r="ADR67" s="41"/>
      <c r="ADS67" s="41"/>
      <c r="ADT67" s="41"/>
      <c r="ADU67" s="41"/>
      <c r="ADV67" s="41"/>
      <c r="ADW67" s="76"/>
      <c r="ADX67" s="41"/>
      <c r="ADY67" s="41"/>
      <c r="ADZ67" s="41"/>
      <c r="AEA67" s="41"/>
      <c r="AEB67" s="41"/>
      <c r="AEC67" s="139"/>
      <c r="AED67" s="41"/>
      <c r="AEE67" s="41"/>
      <c r="AEF67" s="41"/>
      <c r="AEG67" s="41"/>
      <c r="AEH67" s="41"/>
      <c r="AEI67" s="76"/>
      <c r="AEJ67" s="66"/>
      <c r="AEK67" s="66"/>
      <c r="AEL67" s="66"/>
      <c r="AEM67" s="66"/>
      <c r="AEN67" s="41"/>
      <c r="AEO67" s="139"/>
      <c r="AEP67" s="41"/>
      <c r="AEQ67" s="41"/>
      <c r="AER67" s="41"/>
      <c r="AES67" s="41"/>
      <c r="AET67" s="41"/>
      <c r="AEU67" s="76"/>
      <c r="AEV67" s="41"/>
      <c r="AEW67" s="41"/>
      <c r="AEX67" s="41"/>
      <c r="AEY67" s="41"/>
      <c r="AEZ67" s="41"/>
      <c r="AFA67" s="139"/>
      <c r="AFB67" s="41"/>
      <c r="AFC67" s="41"/>
      <c r="AFD67" s="41"/>
      <c r="AFE67" s="41"/>
      <c r="AFF67" s="41"/>
      <c r="AFG67" s="76"/>
      <c r="AFH67" s="41"/>
      <c r="AFI67" s="41"/>
      <c r="AFJ67" s="41"/>
      <c r="AFK67" s="41"/>
      <c r="AFL67" s="41"/>
      <c r="AFM67" s="42"/>
      <c r="AFN67" s="90"/>
    </row>
    <row r="68" spans="1:846" ht="20.100000000000001" customHeight="1" x14ac:dyDescent="0.25">
      <c r="A68" s="100" t="s">
        <v>21</v>
      </c>
      <c r="B68" s="63"/>
      <c r="C68" s="220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28"/>
      <c r="RS68" s="67"/>
      <c r="RT68" s="67"/>
      <c r="RU68" s="67"/>
      <c r="RV68" s="29"/>
      <c r="RW68" s="131"/>
      <c r="RX68" s="29"/>
      <c r="RY68" s="29"/>
      <c r="RZ68" s="29"/>
      <c r="SA68" s="29"/>
      <c r="SB68" s="29"/>
      <c r="SC68" s="136"/>
      <c r="SD68" s="29"/>
      <c r="SE68" s="29"/>
      <c r="SF68" s="29"/>
      <c r="SG68" s="29"/>
      <c r="SH68" s="29"/>
      <c r="SI68" s="73"/>
      <c r="SJ68" s="29"/>
      <c r="SK68" s="29"/>
      <c r="SL68" s="29"/>
      <c r="SM68" s="29"/>
      <c r="SN68" s="29"/>
      <c r="SO68" s="136"/>
      <c r="SP68" s="29"/>
      <c r="SQ68" s="29"/>
      <c r="SR68" s="29"/>
      <c r="SS68" s="29"/>
      <c r="ST68" s="29"/>
      <c r="SU68" s="73"/>
      <c r="SV68" s="67"/>
      <c r="SW68" s="67"/>
      <c r="SX68" s="67"/>
      <c r="SY68" s="67"/>
      <c r="SZ68" s="29"/>
      <c r="TA68" s="136"/>
      <c r="TB68" s="29"/>
      <c r="TC68" s="29"/>
      <c r="TD68" s="29"/>
      <c r="TE68" s="29"/>
      <c r="TF68" s="29"/>
      <c r="TG68" s="73"/>
      <c r="TH68" s="29"/>
      <c r="TI68" s="29"/>
      <c r="TJ68" s="29"/>
      <c r="TK68" s="29"/>
      <c r="TL68" s="29"/>
      <c r="TM68" s="136"/>
      <c r="TN68" s="29"/>
      <c r="TO68" s="29"/>
      <c r="TP68" s="29"/>
      <c r="TQ68" s="29"/>
      <c r="TR68" s="29"/>
      <c r="TS68" s="73"/>
      <c r="TT68" s="29"/>
      <c r="TU68" s="29"/>
      <c r="TV68" s="29"/>
      <c r="TW68" s="29"/>
      <c r="TX68" s="29"/>
      <c r="TY68" s="30"/>
      <c r="TZ68" s="28"/>
      <c r="UA68" s="67"/>
      <c r="UB68" s="67"/>
      <c r="UC68" s="67"/>
      <c r="UD68" s="29"/>
      <c r="UE68" s="131"/>
      <c r="UF68" s="29"/>
      <c r="UG68" s="29"/>
      <c r="UH68" s="29"/>
      <c r="UI68" s="29"/>
      <c r="UJ68" s="29"/>
      <c r="UK68" s="136"/>
      <c r="UL68" s="29"/>
      <c r="UM68" s="29"/>
      <c r="UN68" s="29"/>
      <c r="UO68" s="29"/>
      <c r="UP68" s="29"/>
      <c r="UQ68" s="73"/>
      <c r="UR68" s="29"/>
      <c r="US68" s="29"/>
      <c r="UT68" s="29"/>
      <c r="UU68" s="29"/>
      <c r="UV68" s="29"/>
      <c r="UW68" s="136"/>
      <c r="UX68" s="29"/>
      <c r="UY68" s="29"/>
      <c r="UZ68" s="29"/>
      <c r="VA68" s="29"/>
      <c r="VB68" s="29"/>
      <c r="VC68" s="73"/>
      <c r="VD68" s="67"/>
      <c r="VE68" s="67"/>
      <c r="VF68" s="67"/>
      <c r="VG68" s="67"/>
      <c r="VH68" s="29"/>
      <c r="VI68" s="136"/>
      <c r="VJ68" s="29"/>
      <c r="VK68" s="29"/>
      <c r="VL68" s="29"/>
      <c r="VM68" s="29"/>
      <c r="VN68" s="29"/>
      <c r="VO68" s="73"/>
      <c r="VP68" s="29"/>
      <c r="VQ68" s="29"/>
      <c r="VR68" s="29"/>
      <c r="VS68" s="29"/>
      <c r="VT68" s="29"/>
      <c r="VU68" s="136"/>
      <c r="VV68" s="29"/>
      <c r="VW68" s="29"/>
      <c r="VX68" s="29"/>
      <c r="VY68" s="29"/>
      <c r="VZ68" s="29"/>
      <c r="WA68" s="73"/>
      <c r="WB68" s="29"/>
      <c r="WC68" s="29"/>
      <c r="WD68" s="29"/>
      <c r="WE68" s="29"/>
      <c r="WF68" s="29"/>
      <c r="WG68" s="30"/>
      <c r="WH68" s="28"/>
      <c r="WI68" s="67"/>
      <c r="WJ68" s="67"/>
      <c r="WK68" s="67"/>
      <c r="WL68" s="29"/>
      <c r="WM68" s="131"/>
      <c r="WN68" s="29"/>
      <c r="WO68" s="29"/>
      <c r="WP68" s="29"/>
      <c r="WQ68" s="29"/>
      <c r="WR68" s="29"/>
      <c r="WS68" s="136"/>
      <c r="WT68" s="29"/>
      <c r="WU68" s="29"/>
      <c r="WV68" s="29"/>
      <c r="WW68" s="29"/>
      <c r="WX68" s="29"/>
      <c r="WY68" s="73"/>
      <c r="WZ68" s="29"/>
      <c r="XA68" s="29"/>
      <c r="XB68" s="29"/>
      <c r="XC68" s="29"/>
      <c r="XD68" s="29"/>
      <c r="XE68" s="136"/>
      <c r="XF68" s="29"/>
      <c r="XG68" s="29"/>
      <c r="XH68" s="29"/>
      <c r="XI68" s="29"/>
      <c r="XJ68" s="29"/>
      <c r="XK68" s="73"/>
      <c r="XL68" s="67"/>
      <c r="XM68" s="67"/>
      <c r="XN68" s="67"/>
      <c r="XO68" s="67"/>
      <c r="XP68" s="29"/>
      <c r="XQ68" s="136"/>
      <c r="XR68" s="29"/>
      <c r="XS68" s="29"/>
      <c r="XT68" s="29"/>
      <c r="XU68" s="29"/>
      <c r="XV68" s="29"/>
      <c r="XW68" s="73"/>
      <c r="XX68" s="29"/>
      <c r="XY68" s="29"/>
      <c r="XZ68" s="29"/>
      <c r="YA68" s="29"/>
      <c r="YB68" s="29"/>
      <c r="YC68" s="136"/>
      <c r="YD68" s="29"/>
      <c r="YE68" s="29"/>
      <c r="YF68" s="29"/>
      <c r="YG68" s="29"/>
      <c r="YH68" s="29"/>
      <c r="YI68" s="73"/>
      <c r="YJ68" s="29"/>
      <c r="YK68" s="29"/>
      <c r="YL68" s="29"/>
      <c r="YM68" s="29"/>
      <c r="YN68" s="29"/>
      <c r="YO68" s="30"/>
      <c r="YP68" s="28"/>
      <c r="YQ68" s="67"/>
      <c r="YR68" s="67"/>
      <c r="YS68" s="67"/>
      <c r="YT68" s="29"/>
      <c r="YU68" s="131"/>
      <c r="YV68" s="29"/>
      <c r="YW68" s="29"/>
      <c r="YX68" s="29"/>
      <c r="YY68" s="29"/>
      <c r="YZ68" s="29"/>
      <c r="ZA68" s="136"/>
      <c r="ZB68" s="29"/>
      <c r="ZC68" s="29"/>
      <c r="ZD68" s="29"/>
      <c r="ZE68" s="29"/>
      <c r="ZF68" s="29"/>
      <c r="ZG68" s="73"/>
      <c r="ZH68" s="29"/>
      <c r="ZI68" s="29"/>
      <c r="ZJ68" s="29"/>
      <c r="ZK68" s="29"/>
      <c r="ZL68" s="29"/>
      <c r="ZM68" s="136"/>
      <c r="ZN68" s="29"/>
      <c r="ZO68" s="29"/>
      <c r="ZP68" s="29"/>
      <c r="ZQ68" s="29"/>
      <c r="ZR68" s="29"/>
      <c r="ZS68" s="73"/>
      <c r="ZT68" s="67"/>
      <c r="ZU68" s="67"/>
      <c r="ZV68" s="67"/>
      <c r="ZW68" s="67"/>
      <c r="ZX68" s="29"/>
      <c r="ZY68" s="136"/>
      <c r="ZZ68" s="29"/>
      <c r="AAA68" s="29"/>
      <c r="AAB68" s="29"/>
      <c r="AAC68" s="29"/>
      <c r="AAD68" s="29"/>
      <c r="AAE68" s="73"/>
      <c r="AAF68" s="29"/>
      <c r="AAG68" s="29"/>
      <c r="AAH68" s="29"/>
      <c r="AAI68" s="29"/>
      <c r="AAJ68" s="29"/>
      <c r="AAK68" s="136"/>
      <c r="AAL68" s="29"/>
      <c r="AAM68" s="29"/>
      <c r="AAN68" s="29"/>
      <c r="AAO68" s="29"/>
      <c r="AAP68" s="29"/>
      <c r="AAQ68" s="73"/>
      <c r="AAR68" s="29"/>
      <c r="AAS68" s="29"/>
      <c r="AAT68" s="29"/>
      <c r="AAU68" s="29"/>
      <c r="AAV68" s="29"/>
      <c r="AAW68" s="30"/>
      <c r="AAX68" s="28"/>
      <c r="AAY68" s="67"/>
      <c r="AAZ68" s="67"/>
      <c r="ABA68" s="67"/>
      <c r="ABB68" s="29"/>
      <c r="ABC68" s="131"/>
      <c r="ABD68" s="29"/>
      <c r="ABE68" s="29"/>
      <c r="ABF68" s="29"/>
      <c r="ABG68" s="29"/>
      <c r="ABH68" s="29"/>
      <c r="ABI68" s="136"/>
      <c r="ABJ68" s="29"/>
      <c r="ABK68" s="29"/>
      <c r="ABL68" s="29"/>
      <c r="ABM68" s="29"/>
      <c r="ABN68" s="29"/>
      <c r="ABO68" s="73"/>
      <c r="ABP68" s="29"/>
      <c r="ABQ68" s="29"/>
      <c r="ABR68" s="29"/>
      <c r="ABS68" s="29"/>
      <c r="ABT68" s="29"/>
      <c r="ABU68" s="136"/>
      <c r="ABV68" s="29"/>
      <c r="ABW68" s="29"/>
      <c r="ABX68" s="29"/>
      <c r="ABY68" s="29"/>
      <c r="ABZ68" s="29"/>
      <c r="ACA68" s="73"/>
      <c r="ACB68" s="67"/>
      <c r="ACC68" s="67"/>
      <c r="ACD68" s="67"/>
      <c r="ACE68" s="67"/>
      <c r="ACF68" s="29"/>
      <c r="ACG68" s="136"/>
      <c r="ACH68" s="29"/>
      <c r="ACI68" s="29"/>
      <c r="ACJ68" s="29"/>
      <c r="ACK68" s="29"/>
      <c r="ACL68" s="29"/>
      <c r="ACM68" s="73"/>
      <c r="ACN68" s="29"/>
      <c r="ACO68" s="29"/>
      <c r="ACP68" s="29"/>
      <c r="ACQ68" s="29"/>
      <c r="ACR68" s="29"/>
      <c r="ACS68" s="136"/>
      <c r="ACT68" s="29"/>
      <c r="ACU68" s="29"/>
      <c r="ACV68" s="29"/>
      <c r="ACW68" s="29"/>
      <c r="ACX68" s="29"/>
      <c r="ACY68" s="73"/>
      <c r="ACZ68" s="29"/>
      <c r="ADA68" s="29"/>
      <c r="ADB68" s="29"/>
      <c r="ADC68" s="29"/>
      <c r="ADD68" s="29"/>
      <c r="ADE68" s="30"/>
      <c r="ADF68" s="28"/>
      <c r="ADG68" s="67"/>
      <c r="ADH68" s="67"/>
      <c r="ADI68" s="67"/>
      <c r="ADJ68" s="29"/>
      <c r="ADK68" s="131"/>
      <c r="ADL68" s="29"/>
      <c r="ADM68" s="29"/>
      <c r="ADN68" s="29"/>
      <c r="ADO68" s="29"/>
      <c r="ADP68" s="29"/>
      <c r="ADQ68" s="136"/>
      <c r="ADR68" s="29"/>
      <c r="ADS68" s="29"/>
      <c r="ADT68" s="29"/>
      <c r="ADU68" s="29"/>
      <c r="ADV68" s="29"/>
      <c r="ADW68" s="73"/>
      <c r="ADX68" s="29"/>
      <c r="ADY68" s="29"/>
      <c r="ADZ68" s="29"/>
      <c r="AEA68" s="29"/>
      <c r="AEB68" s="29"/>
      <c r="AEC68" s="136"/>
      <c r="AED68" s="29"/>
      <c r="AEE68" s="29"/>
      <c r="AEF68" s="29"/>
      <c r="AEG68" s="29"/>
      <c r="AEH68" s="29"/>
      <c r="AEI68" s="73"/>
      <c r="AEJ68" s="67"/>
      <c r="AEK68" s="67"/>
      <c r="AEL68" s="67"/>
      <c r="AEM68" s="67"/>
      <c r="AEN68" s="29"/>
      <c r="AEO68" s="136"/>
      <c r="AEP68" s="29"/>
      <c r="AEQ68" s="29"/>
      <c r="AER68" s="29"/>
      <c r="AES68" s="29"/>
      <c r="AET68" s="29"/>
      <c r="AEU68" s="73"/>
      <c r="AEV68" s="29"/>
      <c r="AEW68" s="29"/>
      <c r="AEX68" s="29"/>
      <c r="AEY68" s="29"/>
      <c r="AEZ68" s="29"/>
      <c r="AFA68" s="136"/>
      <c r="AFB68" s="29"/>
      <c r="AFC68" s="29"/>
      <c r="AFD68" s="29"/>
      <c r="AFE68" s="29"/>
      <c r="AFF68" s="29"/>
      <c r="AFG68" s="73"/>
      <c r="AFH68" s="29"/>
      <c r="AFI68" s="29"/>
      <c r="AFJ68" s="29"/>
      <c r="AFK68" s="29"/>
      <c r="AFL68" s="29"/>
      <c r="AFM68" s="30"/>
      <c r="AFN68" s="90"/>
    </row>
    <row r="69" spans="1:846" ht="20.100000000000001" customHeight="1" x14ac:dyDescent="0.25">
      <c r="A69" s="100" t="s">
        <v>20</v>
      </c>
      <c r="B69" s="63"/>
      <c r="C69" s="218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32"/>
      <c r="RS69" s="64"/>
      <c r="RT69" s="64"/>
      <c r="RU69" s="64"/>
      <c r="RV69" s="33"/>
      <c r="RW69" s="132"/>
      <c r="RX69" s="33"/>
      <c r="RY69" s="33"/>
      <c r="RZ69" s="33"/>
      <c r="SA69" s="33"/>
      <c r="SB69" s="33"/>
      <c r="SC69" s="137"/>
      <c r="SD69" s="33"/>
      <c r="SE69" s="33"/>
      <c r="SF69" s="33"/>
      <c r="SG69" s="33"/>
      <c r="SH69" s="33"/>
      <c r="SI69" s="74"/>
      <c r="SJ69" s="33"/>
      <c r="SK69" s="33"/>
      <c r="SL69" s="33"/>
      <c r="SM69" s="33"/>
      <c r="SN69" s="33"/>
      <c r="SO69" s="137"/>
      <c r="SP69" s="33"/>
      <c r="SQ69" s="33"/>
      <c r="SR69" s="33"/>
      <c r="SS69" s="33"/>
      <c r="ST69" s="33"/>
      <c r="SU69" s="74"/>
      <c r="SV69" s="64"/>
      <c r="SW69" s="64"/>
      <c r="SX69" s="64"/>
      <c r="SY69" s="64"/>
      <c r="SZ69" s="33"/>
      <c r="TA69" s="137"/>
      <c r="TB69" s="33"/>
      <c r="TC69" s="33"/>
      <c r="TD69" s="33"/>
      <c r="TE69" s="33"/>
      <c r="TF69" s="33"/>
      <c r="TG69" s="74"/>
      <c r="TH69" s="33"/>
      <c r="TI69" s="33"/>
      <c r="TJ69" s="33"/>
      <c r="TK69" s="33"/>
      <c r="TL69" s="33"/>
      <c r="TM69" s="137"/>
      <c r="TN69" s="33"/>
      <c r="TO69" s="33"/>
      <c r="TP69" s="33"/>
      <c r="TQ69" s="33"/>
      <c r="TR69" s="33"/>
      <c r="TS69" s="74"/>
      <c r="TT69" s="33"/>
      <c r="TU69" s="33"/>
      <c r="TV69" s="33"/>
      <c r="TW69" s="33"/>
      <c r="TX69" s="33"/>
      <c r="TY69" s="34"/>
      <c r="TZ69" s="32"/>
      <c r="UA69" s="64"/>
      <c r="UB69" s="64"/>
      <c r="UC69" s="64"/>
      <c r="UD69" s="33"/>
      <c r="UE69" s="132"/>
      <c r="UF69" s="33"/>
      <c r="UG69" s="33"/>
      <c r="UH69" s="33"/>
      <c r="UI69" s="33"/>
      <c r="UJ69" s="33"/>
      <c r="UK69" s="137"/>
      <c r="UL69" s="33"/>
      <c r="UM69" s="33"/>
      <c r="UN69" s="33"/>
      <c r="UO69" s="33"/>
      <c r="UP69" s="33"/>
      <c r="UQ69" s="74"/>
      <c r="UR69" s="33"/>
      <c r="US69" s="33"/>
      <c r="UT69" s="33"/>
      <c r="UU69" s="33"/>
      <c r="UV69" s="33"/>
      <c r="UW69" s="137"/>
      <c r="UX69" s="33"/>
      <c r="UY69" s="33"/>
      <c r="UZ69" s="33"/>
      <c r="VA69" s="33"/>
      <c r="VB69" s="33"/>
      <c r="VC69" s="74"/>
      <c r="VD69" s="64"/>
      <c r="VE69" s="64"/>
      <c r="VF69" s="64"/>
      <c r="VG69" s="64"/>
      <c r="VH69" s="33"/>
      <c r="VI69" s="137"/>
      <c r="VJ69" s="33"/>
      <c r="VK69" s="33"/>
      <c r="VL69" s="33"/>
      <c r="VM69" s="33"/>
      <c r="VN69" s="33"/>
      <c r="VO69" s="74"/>
      <c r="VP69" s="33"/>
      <c r="VQ69" s="33"/>
      <c r="VR69" s="33"/>
      <c r="VS69" s="33"/>
      <c r="VT69" s="33"/>
      <c r="VU69" s="137"/>
      <c r="VV69" s="33"/>
      <c r="VW69" s="33"/>
      <c r="VX69" s="33"/>
      <c r="VY69" s="33"/>
      <c r="VZ69" s="33"/>
      <c r="WA69" s="74"/>
      <c r="WB69" s="33"/>
      <c r="WC69" s="33"/>
      <c r="WD69" s="33"/>
      <c r="WE69" s="33"/>
      <c r="WF69" s="33"/>
      <c r="WG69" s="34"/>
      <c r="WH69" s="32"/>
      <c r="WI69" s="64"/>
      <c r="WJ69" s="64"/>
      <c r="WK69" s="64"/>
      <c r="WL69" s="33"/>
      <c r="WM69" s="132"/>
      <c r="WN69" s="33"/>
      <c r="WO69" s="33"/>
      <c r="WP69" s="33"/>
      <c r="WQ69" s="33"/>
      <c r="WR69" s="33"/>
      <c r="WS69" s="137"/>
      <c r="WT69" s="33"/>
      <c r="WU69" s="33"/>
      <c r="WV69" s="33"/>
      <c r="WW69" s="33"/>
      <c r="WX69" s="33"/>
      <c r="WY69" s="74"/>
      <c r="WZ69" s="33"/>
      <c r="XA69" s="33"/>
      <c r="XB69" s="33"/>
      <c r="XC69" s="33"/>
      <c r="XD69" s="33"/>
      <c r="XE69" s="137"/>
      <c r="XF69" s="33"/>
      <c r="XG69" s="33"/>
      <c r="XH69" s="33"/>
      <c r="XI69" s="33"/>
      <c r="XJ69" s="33"/>
      <c r="XK69" s="74"/>
      <c r="XL69" s="64"/>
      <c r="XM69" s="64"/>
      <c r="XN69" s="64"/>
      <c r="XO69" s="64"/>
      <c r="XP69" s="33"/>
      <c r="XQ69" s="137"/>
      <c r="XR69" s="33"/>
      <c r="XS69" s="33"/>
      <c r="XT69" s="33"/>
      <c r="XU69" s="33"/>
      <c r="XV69" s="33"/>
      <c r="XW69" s="74"/>
      <c r="XX69" s="33"/>
      <c r="XY69" s="33"/>
      <c r="XZ69" s="33"/>
      <c r="YA69" s="33"/>
      <c r="YB69" s="33"/>
      <c r="YC69" s="137"/>
      <c r="YD69" s="33"/>
      <c r="YE69" s="33"/>
      <c r="YF69" s="33"/>
      <c r="YG69" s="33"/>
      <c r="YH69" s="33"/>
      <c r="YI69" s="74"/>
      <c r="YJ69" s="33"/>
      <c r="YK69" s="33"/>
      <c r="YL69" s="33"/>
      <c r="YM69" s="33"/>
      <c r="YN69" s="33"/>
      <c r="YO69" s="34"/>
      <c r="YP69" s="32"/>
      <c r="YQ69" s="64"/>
      <c r="YR69" s="64"/>
      <c r="YS69" s="64"/>
      <c r="YT69" s="33"/>
      <c r="YU69" s="132"/>
      <c r="YV69" s="33"/>
      <c r="YW69" s="33"/>
      <c r="YX69" s="33"/>
      <c r="YY69" s="33"/>
      <c r="YZ69" s="33"/>
      <c r="ZA69" s="137"/>
      <c r="ZB69" s="33"/>
      <c r="ZC69" s="33"/>
      <c r="ZD69" s="33"/>
      <c r="ZE69" s="33"/>
      <c r="ZF69" s="33"/>
      <c r="ZG69" s="74"/>
      <c r="ZH69" s="33"/>
      <c r="ZI69" s="33"/>
      <c r="ZJ69" s="33"/>
      <c r="ZK69" s="33"/>
      <c r="ZL69" s="33"/>
      <c r="ZM69" s="137"/>
      <c r="ZN69" s="33"/>
      <c r="ZO69" s="33"/>
      <c r="ZP69" s="33"/>
      <c r="ZQ69" s="33"/>
      <c r="ZR69" s="33"/>
      <c r="ZS69" s="74"/>
      <c r="ZT69" s="64"/>
      <c r="ZU69" s="64"/>
      <c r="ZV69" s="64"/>
      <c r="ZW69" s="64"/>
      <c r="ZX69" s="33"/>
      <c r="ZY69" s="137"/>
      <c r="ZZ69" s="33"/>
      <c r="AAA69" s="33"/>
      <c r="AAB69" s="33"/>
      <c r="AAC69" s="33"/>
      <c r="AAD69" s="33"/>
      <c r="AAE69" s="74"/>
      <c r="AAF69" s="33"/>
      <c r="AAG69" s="33"/>
      <c r="AAH69" s="33"/>
      <c r="AAI69" s="33"/>
      <c r="AAJ69" s="33"/>
      <c r="AAK69" s="137"/>
      <c r="AAL69" s="33"/>
      <c r="AAM69" s="33"/>
      <c r="AAN69" s="33"/>
      <c r="AAO69" s="33"/>
      <c r="AAP69" s="33"/>
      <c r="AAQ69" s="74"/>
      <c r="AAR69" s="33"/>
      <c r="AAS69" s="33"/>
      <c r="AAT69" s="33"/>
      <c r="AAU69" s="33"/>
      <c r="AAV69" s="33"/>
      <c r="AAW69" s="34"/>
      <c r="AAX69" s="32"/>
      <c r="AAY69" s="64"/>
      <c r="AAZ69" s="64"/>
      <c r="ABA69" s="64"/>
      <c r="ABB69" s="33"/>
      <c r="ABC69" s="132"/>
      <c r="ABD69" s="33"/>
      <c r="ABE69" s="33"/>
      <c r="ABF69" s="33"/>
      <c r="ABG69" s="33"/>
      <c r="ABH69" s="33"/>
      <c r="ABI69" s="137"/>
      <c r="ABJ69" s="33"/>
      <c r="ABK69" s="33"/>
      <c r="ABL69" s="33"/>
      <c r="ABM69" s="33"/>
      <c r="ABN69" s="33"/>
      <c r="ABO69" s="74"/>
      <c r="ABP69" s="33"/>
      <c r="ABQ69" s="33"/>
      <c r="ABR69" s="33"/>
      <c r="ABS69" s="33"/>
      <c r="ABT69" s="33"/>
      <c r="ABU69" s="137"/>
      <c r="ABV69" s="33"/>
      <c r="ABW69" s="33"/>
      <c r="ABX69" s="33"/>
      <c r="ABY69" s="33"/>
      <c r="ABZ69" s="33"/>
      <c r="ACA69" s="74"/>
      <c r="ACB69" s="64"/>
      <c r="ACC69" s="64"/>
      <c r="ACD69" s="64"/>
      <c r="ACE69" s="64"/>
      <c r="ACF69" s="33"/>
      <c r="ACG69" s="137"/>
      <c r="ACH69" s="33"/>
      <c r="ACI69" s="33"/>
      <c r="ACJ69" s="33"/>
      <c r="ACK69" s="33"/>
      <c r="ACL69" s="33"/>
      <c r="ACM69" s="74"/>
      <c r="ACN69" s="33"/>
      <c r="ACO69" s="33"/>
      <c r="ACP69" s="33"/>
      <c r="ACQ69" s="33"/>
      <c r="ACR69" s="33"/>
      <c r="ACS69" s="137"/>
      <c r="ACT69" s="33"/>
      <c r="ACU69" s="33"/>
      <c r="ACV69" s="33"/>
      <c r="ACW69" s="33"/>
      <c r="ACX69" s="33"/>
      <c r="ACY69" s="74"/>
      <c r="ACZ69" s="33"/>
      <c r="ADA69" s="33"/>
      <c r="ADB69" s="33"/>
      <c r="ADC69" s="33"/>
      <c r="ADD69" s="33"/>
      <c r="ADE69" s="34"/>
      <c r="ADF69" s="32"/>
      <c r="ADG69" s="64"/>
      <c r="ADH69" s="64"/>
      <c r="ADI69" s="64"/>
      <c r="ADJ69" s="33"/>
      <c r="ADK69" s="132"/>
      <c r="ADL69" s="33"/>
      <c r="ADM69" s="33"/>
      <c r="ADN69" s="33"/>
      <c r="ADO69" s="33"/>
      <c r="ADP69" s="33"/>
      <c r="ADQ69" s="137"/>
      <c r="ADR69" s="33"/>
      <c r="ADS69" s="33"/>
      <c r="ADT69" s="33"/>
      <c r="ADU69" s="33"/>
      <c r="ADV69" s="33"/>
      <c r="ADW69" s="74"/>
      <c r="ADX69" s="33"/>
      <c r="ADY69" s="33"/>
      <c r="ADZ69" s="33"/>
      <c r="AEA69" s="33"/>
      <c r="AEB69" s="33"/>
      <c r="AEC69" s="137"/>
      <c r="AED69" s="33"/>
      <c r="AEE69" s="33"/>
      <c r="AEF69" s="33"/>
      <c r="AEG69" s="33"/>
      <c r="AEH69" s="33"/>
      <c r="AEI69" s="74"/>
      <c r="AEJ69" s="64"/>
      <c r="AEK69" s="64"/>
      <c r="AEL69" s="64"/>
      <c r="AEM69" s="64"/>
      <c r="AEN69" s="33"/>
      <c r="AEO69" s="137"/>
      <c r="AEP69" s="33"/>
      <c r="AEQ69" s="33"/>
      <c r="AER69" s="33"/>
      <c r="AES69" s="33"/>
      <c r="AET69" s="33"/>
      <c r="AEU69" s="74"/>
      <c r="AEV69" s="33"/>
      <c r="AEW69" s="33"/>
      <c r="AEX69" s="33"/>
      <c r="AEY69" s="33"/>
      <c r="AEZ69" s="33"/>
      <c r="AFA69" s="137"/>
      <c r="AFB69" s="33"/>
      <c r="AFC69" s="33"/>
      <c r="AFD69" s="33"/>
      <c r="AFE69" s="33"/>
      <c r="AFF69" s="33"/>
      <c r="AFG69" s="74"/>
      <c r="AFH69" s="33"/>
      <c r="AFI69" s="33"/>
      <c r="AFJ69" s="33"/>
      <c r="AFK69" s="33"/>
      <c r="AFL69" s="33"/>
      <c r="AFM69" s="34"/>
      <c r="AFN69" s="90"/>
    </row>
    <row r="70" spans="1:846" ht="20.100000000000001" customHeight="1" x14ac:dyDescent="0.3">
      <c r="A70" s="100" t="s">
        <v>21</v>
      </c>
      <c r="B70" s="63"/>
      <c r="C70" s="219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36"/>
      <c r="RS70" s="65"/>
      <c r="RT70" s="65"/>
      <c r="RU70" s="65"/>
      <c r="RV70" s="37"/>
      <c r="RW70" s="133"/>
      <c r="RX70" s="37"/>
      <c r="RY70" s="37"/>
      <c r="RZ70" s="37"/>
      <c r="SA70" s="37"/>
      <c r="SB70" s="37"/>
      <c r="SC70" s="138"/>
      <c r="SD70" s="37"/>
      <c r="SE70" s="37"/>
      <c r="SF70" s="37"/>
      <c r="SG70" s="37"/>
      <c r="SH70" s="37"/>
      <c r="SI70" s="75"/>
      <c r="SJ70" s="37"/>
      <c r="SK70" s="37"/>
      <c r="SL70" s="37"/>
      <c r="SM70" s="37"/>
      <c r="SN70" s="37"/>
      <c r="SO70" s="138"/>
      <c r="SP70" s="37"/>
      <c r="SQ70" s="37"/>
      <c r="SR70" s="37"/>
      <c r="SS70" s="37"/>
      <c r="ST70" s="37"/>
      <c r="SU70" s="75"/>
      <c r="SV70" s="65"/>
      <c r="SW70" s="65"/>
      <c r="SX70" s="65"/>
      <c r="SY70" s="65"/>
      <c r="SZ70" s="37"/>
      <c r="TA70" s="138"/>
      <c r="TB70" s="37"/>
      <c r="TC70" s="37"/>
      <c r="TD70" s="37"/>
      <c r="TE70" s="37"/>
      <c r="TF70" s="37"/>
      <c r="TG70" s="75"/>
      <c r="TH70" s="37"/>
      <c r="TI70" s="37"/>
      <c r="TJ70" s="37"/>
      <c r="TK70" s="37"/>
      <c r="TL70" s="37"/>
      <c r="TM70" s="138"/>
      <c r="TN70" s="37"/>
      <c r="TO70" s="37"/>
      <c r="TP70" s="37"/>
      <c r="TQ70" s="37"/>
      <c r="TR70" s="37"/>
      <c r="TS70" s="75"/>
      <c r="TT70" s="37"/>
      <c r="TU70" s="37"/>
      <c r="TV70" s="37"/>
      <c r="TW70" s="37"/>
      <c r="TX70" s="37"/>
      <c r="TY70" s="38"/>
      <c r="TZ70" s="36"/>
      <c r="UA70" s="65"/>
      <c r="UB70" s="65"/>
      <c r="UC70" s="65"/>
      <c r="UD70" s="37"/>
      <c r="UE70" s="133"/>
      <c r="UF70" s="37"/>
      <c r="UG70" s="37"/>
      <c r="UH70" s="37"/>
      <c r="UI70" s="37"/>
      <c r="UJ70" s="37"/>
      <c r="UK70" s="138"/>
      <c r="UL70" s="37"/>
      <c r="UM70" s="37"/>
      <c r="UN70" s="37"/>
      <c r="UO70" s="37"/>
      <c r="UP70" s="37"/>
      <c r="UQ70" s="75"/>
      <c r="UR70" s="37"/>
      <c r="US70" s="37"/>
      <c r="UT70" s="37"/>
      <c r="UU70" s="37"/>
      <c r="UV70" s="37"/>
      <c r="UW70" s="138"/>
      <c r="UX70" s="37"/>
      <c r="UY70" s="37"/>
      <c r="UZ70" s="37"/>
      <c r="VA70" s="37"/>
      <c r="VB70" s="37"/>
      <c r="VC70" s="75"/>
      <c r="VD70" s="65"/>
      <c r="VE70" s="65"/>
      <c r="VF70" s="65"/>
      <c r="VG70" s="65"/>
      <c r="VH70" s="37"/>
      <c r="VI70" s="138"/>
      <c r="VJ70" s="37"/>
      <c r="VK70" s="37"/>
      <c r="VL70" s="37"/>
      <c r="VM70" s="37"/>
      <c r="VN70" s="37"/>
      <c r="VO70" s="75"/>
      <c r="VP70" s="37"/>
      <c r="VQ70" s="37"/>
      <c r="VR70" s="37"/>
      <c r="VS70" s="37"/>
      <c r="VT70" s="37"/>
      <c r="VU70" s="138"/>
      <c r="VV70" s="37"/>
      <c r="VW70" s="37"/>
      <c r="VX70" s="37"/>
      <c r="VY70" s="37"/>
      <c r="VZ70" s="37"/>
      <c r="WA70" s="75"/>
      <c r="WB70" s="37"/>
      <c r="WC70" s="37"/>
      <c r="WD70" s="37"/>
      <c r="WE70" s="37"/>
      <c r="WF70" s="37"/>
      <c r="WG70" s="38"/>
      <c r="WH70" s="36"/>
      <c r="WI70" s="65"/>
      <c r="WJ70" s="65"/>
      <c r="WK70" s="65"/>
      <c r="WL70" s="37"/>
      <c r="WM70" s="133"/>
      <c r="WN70" s="37"/>
      <c r="WO70" s="37"/>
      <c r="WP70" s="37"/>
      <c r="WQ70" s="37"/>
      <c r="WR70" s="37"/>
      <c r="WS70" s="138"/>
      <c r="WT70" s="37"/>
      <c r="WU70" s="37"/>
      <c r="WV70" s="37"/>
      <c r="WW70" s="37"/>
      <c r="WX70" s="37"/>
      <c r="WY70" s="75"/>
      <c r="WZ70" s="37"/>
      <c r="XA70" s="37"/>
      <c r="XB70" s="37"/>
      <c r="XC70" s="37"/>
      <c r="XD70" s="37"/>
      <c r="XE70" s="138"/>
      <c r="XF70" s="37"/>
      <c r="XG70" s="37"/>
      <c r="XH70" s="37"/>
      <c r="XI70" s="37"/>
      <c r="XJ70" s="37"/>
      <c r="XK70" s="75"/>
      <c r="XL70" s="65"/>
      <c r="XM70" s="65"/>
      <c r="XN70" s="65"/>
      <c r="XO70" s="65"/>
      <c r="XP70" s="37"/>
      <c r="XQ70" s="138"/>
      <c r="XR70" s="37"/>
      <c r="XS70" s="37"/>
      <c r="XT70" s="37"/>
      <c r="XU70" s="37"/>
      <c r="XV70" s="37"/>
      <c r="XW70" s="75"/>
      <c r="XX70" s="37"/>
      <c r="XY70" s="37"/>
      <c r="XZ70" s="37"/>
      <c r="YA70" s="37"/>
      <c r="YB70" s="37"/>
      <c r="YC70" s="138"/>
      <c r="YD70" s="37"/>
      <c r="YE70" s="37"/>
      <c r="YF70" s="37"/>
      <c r="YG70" s="37"/>
      <c r="YH70" s="37"/>
      <c r="YI70" s="75"/>
      <c r="YJ70" s="37"/>
      <c r="YK70" s="37"/>
      <c r="YL70" s="37"/>
      <c r="YM70" s="37"/>
      <c r="YN70" s="37"/>
      <c r="YO70" s="38"/>
      <c r="YP70" s="36"/>
      <c r="YQ70" s="65"/>
      <c r="YR70" s="65"/>
      <c r="YS70" s="65"/>
      <c r="YT70" s="37"/>
      <c r="YU70" s="133"/>
      <c r="YV70" s="37"/>
      <c r="YW70" s="37"/>
      <c r="YX70" s="37"/>
      <c r="YY70" s="37"/>
      <c r="YZ70" s="37"/>
      <c r="ZA70" s="138"/>
      <c r="ZB70" s="37"/>
      <c r="ZC70" s="37"/>
      <c r="ZD70" s="37"/>
      <c r="ZE70" s="37"/>
      <c r="ZF70" s="37"/>
      <c r="ZG70" s="75"/>
      <c r="ZH70" s="37"/>
      <c r="ZI70" s="37"/>
      <c r="ZJ70" s="37"/>
      <c r="ZK70" s="37"/>
      <c r="ZL70" s="37"/>
      <c r="ZM70" s="138"/>
      <c r="ZN70" s="37"/>
      <c r="ZO70" s="37"/>
      <c r="ZP70" s="37"/>
      <c r="ZQ70" s="37"/>
      <c r="ZR70" s="37"/>
      <c r="ZS70" s="75"/>
      <c r="ZT70" s="65"/>
      <c r="ZU70" s="65"/>
      <c r="ZV70" s="65"/>
      <c r="ZW70" s="65"/>
      <c r="ZX70" s="37"/>
      <c r="ZY70" s="138"/>
      <c r="ZZ70" s="37"/>
      <c r="AAA70" s="37"/>
      <c r="AAB70" s="37"/>
      <c r="AAC70" s="37"/>
      <c r="AAD70" s="37"/>
      <c r="AAE70" s="75"/>
      <c r="AAF70" s="37"/>
      <c r="AAG70" s="37"/>
      <c r="AAH70" s="37"/>
      <c r="AAI70" s="37"/>
      <c r="AAJ70" s="37"/>
      <c r="AAK70" s="138"/>
      <c r="AAL70" s="37"/>
      <c r="AAM70" s="37"/>
      <c r="AAN70" s="37"/>
      <c r="AAO70" s="37"/>
      <c r="AAP70" s="37"/>
      <c r="AAQ70" s="75"/>
      <c r="AAR70" s="37"/>
      <c r="AAS70" s="37"/>
      <c r="AAT70" s="37"/>
      <c r="AAU70" s="37"/>
      <c r="AAV70" s="37"/>
      <c r="AAW70" s="38"/>
      <c r="AAX70" s="36"/>
      <c r="AAY70" s="65"/>
      <c r="AAZ70" s="65"/>
      <c r="ABA70" s="65"/>
      <c r="ABB70" s="37"/>
      <c r="ABC70" s="133"/>
      <c r="ABD70" s="37"/>
      <c r="ABE70" s="37"/>
      <c r="ABF70" s="37"/>
      <c r="ABG70" s="37"/>
      <c r="ABH70" s="37"/>
      <c r="ABI70" s="138"/>
      <c r="ABJ70" s="37"/>
      <c r="ABK70" s="37"/>
      <c r="ABL70" s="37"/>
      <c r="ABM70" s="37"/>
      <c r="ABN70" s="37"/>
      <c r="ABO70" s="75"/>
      <c r="ABP70" s="37"/>
      <c r="ABQ70" s="37"/>
      <c r="ABR70" s="37"/>
      <c r="ABS70" s="37"/>
      <c r="ABT70" s="37"/>
      <c r="ABU70" s="138"/>
      <c r="ABV70" s="37"/>
      <c r="ABW70" s="37"/>
      <c r="ABX70" s="37"/>
      <c r="ABY70" s="37"/>
      <c r="ABZ70" s="37"/>
      <c r="ACA70" s="75"/>
      <c r="ACB70" s="65"/>
      <c r="ACC70" s="65"/>
      <c r="ACD70" s="65"/>
      <c r="ACE70" s="65"/>
      <c r="ACF70" s="37"/>
      <c r="ACG70" s="138"/>
      <c r="ACH70" s="37"/>
      <c r="ACI70" s="37"/>
      <c r="ACJ70" s="37"/>
      <c r="ACK70" s="37"/>
      <c r="ACL70" s="37"/>
      <c r="ACM70" s="75"/>
      <c r="ACN70" s="37"/>
      <c r="ACO70" s="37"/>
      <c r="ACP70" s="37"/>
      <c r="ACQ70" s="37"/>
      <c r="ACR70" s="37"/>
      <c r="ACS70" s="138"/>
      <c r="ACT70" s="37"/>
      <c r="ACU70" s="37"/>
      <c r="ACV70" s="37"/>
      <c r="ACW70" s="37"/>
      <c r="ACX70" s="37"/>
      <c r="ACY70" s="75"/>
      <c r="ACZ70" s="37"/>
      <c r="ADA70" s="37"/>
      <c r="ADB70" s="37"/>
      <c r="ADC70" s="37"/>
      <c r="ADD70" s="37"/>
      <c r="ADE70" s="38"/>
      <c r="ADF70" s="36"/>
      <c r="ADG70" s="65"/>
      <c r="ADH70" s="65"/>
      <c r="ADI70" s="65"/>
      <c r="ADJ70" s="37"/>
      <c r="ADK70" s="133"/>
      <c r="ADL70" s="37"/>
      <c r="ADM70" s="37"/>
      <c r="ADN70" s="37"/>
      <c r="ADO70" s="37"/>
      <c r="ADP70" s="37"/>
      <c r="ADQ70" s="138"/>
      <c r="ADR70" s="37"/>
      <c r="ADS70" s="37"/>
      <c r="ADT70" s="37"/>
      <c r="ADU70" s="37"/>
      <c r="ADV70" s="37"/>
      <c r="ADW70" s="75"/>
      <c r="ADX70" s="37"/>
      <c r="ADY70" s="37"/>
      <c r="ADZ70" s="37"/>
      <c r="AEA70" s="37"/>
      <c r="AEB70" s="37"/>
      <c r="AEC70" s="138"/>
      <c r="AED70" s="37"/>
      <c r="AEE70" s="37"/>
      <c r="AEF70" s="37"/>
      <c r="AEG70" s="37"/>
      <c r="AEH70" s="37"/>
      <c r="AEI70" s="75"/>
      <c r="AEJ70" s="65"/>
      <c r="AEK70" s="65"/>
      <c r="AEL70" s="65"/>
      <c r="AEM70" s="65"/>
      <c r="AEN70" s="37"/>
      <c r="AEO70" s="138"/>
      <c r="AEP70" s="37"/>
      <c r="AEQ70" s="37"/>
      <c r="AER70" s="37"/>
      <c r="AES70" s="37"/>
      <c r="AET70" s="37"/>
      <c r="AEU70" s="75"/>
      <c r="AEV70" s="37"/>
      <c r="AEW70" s="37"/>
      <c r="AEX70" s="37"/>
      <c r="AEY70" s="37"/>
      <c r="AEZ70" s="37"/>
      <c r="AFA70" s="138"/>
      <c r="AFB70" s="37"/>
      <c r="AFC70" s="37"/>
      <c r="AFD70" s="37"/>
      <c r="AFE70" s="37"/>
      <c r="AFF70" s="37"/>
      <c r="AFG70" s="75"/>
      <c r="AFH70" s="37"/>
      <c r="AFI70" s="37"/>
      <c r="AFJ70" s="37"/>
      <c r="AFK70" s="37"/>
      <c r="AFL70" s="37"/>
      <c r="AFM70" s="38"/>
      <c r="AFN70" s="90"/>
    </row>
    <row r="71" spans="1:846" ht="20.100000000000001" customHeight="1" x14ac:dyDescent="0.25">
      <c r="A71" s="100" t="s">
        <v>20</v>
      </c>
      <c r="B71" s="63"/>
      <c r="C71" s="218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40"/>
      <c r="RS71" s="66"/>
      <c r="RT71" s="66"/>
      <c r="RU71" s="66"/>
      <c r="RV71" s="41"/>
      <c r="RW71" s="134"/>
      <c r="RX71" s="41"/>
      <c r="RY71" s="41"/>
      <c r="RZ71" s="41"/>
      <c r="SA71" s="41"/>
      <c r="SB71" s="41"/>
      <c r="SC71" s="139"/>
      <c r="SD71" s="41"/>
      <c r="SE71" s="41"/>
      <c r="SF71" s="41"/>
      <c r="SG71" s="41"/>
      <c r="SH71" s="41"/>
      <c r="SI71" s="76"/>
      <c r="SJ71" s="41"/>
      <c r="SK71" s="41"/>
      <c r="SL71" s="41"/>
      <c r="SM71" s="41"/>
      <c r="SN71" s="41"/>
      <c r="SO71" s="139"/>
      <c r="SP71" s="41"/>
      <c r="SQ71" s="41"/>
      <c r="SR71" s="41"/>
      <c r="SS71" s="41"/>
      <c r="ST71" s="41"/>
      <c r="SU71" s="76"/>
      <c r="SV71" s="66"/>
      <c r="SW71" s="66"/>
      <c r="SX71" s="66"/>
      <c r="SY71" s="66"/>
      <c r="SZ71" s="41"/>
      <c r="TA71" s="139"/>
      <c r="TB71" s="41"/>
      <c r="TC71" s="41"/>
      <c r="TD71" s="41"/>
      <c r="TE71" s="41"/>
      <c r="TF71" s="41"/>
      <c r="TG71" s="76"/>
      <c r="TH71" s="41"/>
      <c r="TI71" s="41"/>
      <c r="TJ71" s="41"/>
      <c r="TK71" s="41"/>
      <c r="TL71" s="41"/>
      <c r="TM71" s="139"/>
      <c r="TN71" s="41"/>
      <c r="TO71" s="41"/>
      <c r="TP71" s="41"/>
      <c r="TQ71" s="41"/>
      <c r="TR71" s="41"/>
      <c r="TS71" s="76"/>
      <c r="TT71" s="41"/>
      <c r="TU71" s="41"/>
      <c r="TV71" s="41"/>
      <c r="TW71" s="41"/>
      <c r="TX71" s="41"/>
      <c r="TY71" s="42"/>
      <c r="TZ71" s="40"/>
      <c r="UA71" s="66"/>
      <c r="UB71" s="66"/>
      <c r="UC71" s="66"/>
      <c r="UD71" s="41"/>
      <c r="UE71" s="134"/>
      <c r="UF71" s="41"/>
      <c r="UG71" s="41"/>
      <c r="UH71" s="41"/>
      <c r="UI71" s="41"/>
      <c r="UJ71" s="41"/>
      <c r="UK71" s="139"/>
      <c r="UL71" s="41"/>
      <c r="UM71" s="41"/>
      <c r="UN71" s="41"/>
      <c r="UO71" s="41"/>
      <c r="UP71" s="41"/>
      <c r="UQ71" s="76"/>
      <c r="UR71" s="41"/>
      <c r="US71" s="41"/>
      <c r="UT71" s="41"/>
      <c r="UU71" s="41"/>
      <c r="UV71" s="41"/>
      <c r="UW71" s="139"/>
      <c r="UX71" s="41"/>
      <c r="UY71" s="41"/>
      <c r="UZ71" s="41"/>
      <c r="VA71" s="41"/>
      <c r="VB71" s="41"/>
      <c r="VC71" s="76"/>
      <c r="VD71" s="66"/>
      <c r="VE71" s="66"/>
      <c r="VF71" s="66"/>
      <c r="VG71" s="66"/>
      <c r="VH71" s="41"/>
      <c r="VI71" s="139"/>
      <c r="VJ71" s="41"/>
      <c r="VK71" s="41"/>
      <c r="VL71" s="41"/>
      <c r="VM71" s="41"/>
      <c r="VN71" s="41"/>
      <c r="VO71" s="76"/>
      <c r="VP71" s="41"/>
      <c r="VQ71" s="41"/>
      <c r="VR71" s="41"/>
      <c r="VS71" s="41"/>
      <c r="VT71" s="41"/>
      <c r="VU71" s="139"/>
      <c r="VV71" s="41"/>
      <c r="VW71" s="41"/>
      <c r="VX71" s="41"/>
      <c r="VY71" s="41"/>
      <c r="VZ71" s="41"/>
      <c r="WA71" s="76"/>
      <c r="WB71" s="41"/>
      <c r="WC71" s="41"/>
      <c r="WD71" s="41"/>
      <c r="WE71" s="41"/>
      <c r="WF71" s="41"/>
      <c r="WG71" s="42"/>
      <c r="WH71" s="40"/>
      <c r="WI71" s="66"/>
      <c r="WJ71" s="66"/>
      <c r="WK71" s="66"/>
      <c r="WL71" s="41"/>
      <c r="WM71" s="134"/>
      <c r="WN71" s="41"/>
      <c r="WO71" s="41"/>
      <c r="WP71" s="41"/>
      <c r="WQ71" s="41"/>
      <c r="WR71" s="41"/>
      <c r="WS71" s="139"/>
      <c r="WT71" s="41"/>
      <c r="WU71" s="41"/>
      <c r="WV71" s="41"/>
      <c r="WW71" s="41"/>
      <c r="WX71" s="41"/>
      <c r="WY71" s="76"/>
      <c r="WZ71" s="41"/>
      <c r="XA71" s="41"/>
      <c r="XB71" s="41"/>
      <c r="XC71" s="41"/>
      <c r="XD71" s="41"/>
      <c r="XE71" s="139"/>
      <c r="XF71" s="41"/>
      <c r="XG71" s="41"/>
      <c r="XH71" s="41"/>
      <c r="XI71" s="41"/>
      <c r="XJ71" s="41"/>
      <c r="XK71" s="76"/>
      <c r="XL71" s="66"/>
      <c r="XM71" s="66"/>
      <c r="XN71" s="66"/>
      <c r="XO71" s="66"/>
      <c r="XP71" s="41"/>
      <c r="XQ71" s="139"/>
      <c r="XR71" s="41"/>
      <c r="XS71" s="41"/>
      <c r="XT71" s="41"/>
      <c r="XU71" s="41"/>
      <c r="XV71" s="41"/>
      <c r="XW71" s="76"/>
      <c r="XX71" s="41"/>
      <c r="XY71" s="41"/>
      <c r="XZ71" s="41"/>
      <c r="YA71" s="41"/>
      <c r="YB71" s="41"/>
      <c r="YC71" s="139"/>
      <c r="YD71" s="41"/>
      <c r="YE71" s="41"/>
      <c r="YF71" s="41"/>
      <c r="YG71" s="41"/>
      <c r="YH71" s="41"/>
      <c r="YI71" s="76"/>
      <c r="YJ71" s="41"/>
      <c r="YK71" s="41"/>
      <c r="YL71" s="41"/>
      <c r="YM71" s="41"/>
      <c r="YN71" s="41"/>
      <c r="YO71" s="42"/>
      <c r="YP71" s="40"/>
      <c r="YQ71" s="66"/>
      <c r="YR71" s="66"/>
      <c r="YS71" s="66"/>
      <c r="YT71" s="41"/>
      <c r="YU71" s="134"/>
      <c r="YV71" s="41"/>
      <c r="YW71" s="41"/>
      <c r="YX71" s="41"/>
      <c r="YY71" s="41"/>
      <c r="YZ71" s="41"/>
      <c r="ZA71" s="139"/>
      <c r="ZB71" s="41"/>
      <c r="ZC71" s="41"/>
      <c r="ZD71" s="41"/>
      <c r="ZE71" s="41"/>
      <c r="ZF71" s="41"/>
      <c r="ZG71" s="76"/>
      <c r="ZH71" s="41"/>
      <c r="ZI71" s="41"/>
      <c r="ZJ71" s="41"/>
      <c r="ZK71" s="41"/>
      <c r="ZL71" s="41"/>
      <c r="ZM71" s="139"/>
      <c r="ZN71" s="41"/>
      <c r="ZO71" s="41"/>
      <c r="ZP71" s="41"/>
      <c r="ZQ71" s="41"/>
      <c r="ZR71" s="41"/>
      <c r="ZS71" s="76"/>
      <c r="ZT71" s="66"/>
      <c r="ZU71" s="66"/>
      <c r="ZV71" s="66"/>
      <c r="ZW71" s="66"/>
      <c r="ZX71" s="41"/>
      <c r="ZY71" s="139"/>
      <c r="ZZ71" s="41"/>
      <c r="AAA71" s="41"/>
      <c r="AAB71" s="41"/>
      <c r="AAC71" s="41"/>
      <c r="AAD71" s="41"/>
      <c r="AAE71" s="76"/>
      <c r="AAF71" s="41"/>
      <c r="AAG71" s="41"/>
      <c r="AAH71" s="41"/>
      <c r="AAI71" s="41"/>
      <c r="AAJ71" s="41"/>
      <c r="AAK71" s="139"/>
      <c r="AAL71" s="41"/>
      <c r="AAM71" s="41"/>
      <c r="AAN71" s="41"/>
      <c r="AAO71" s="41"/>
      <c r="AAP71" s="41"/>
      <c r="AAQ71" s="76"/>
      <c r="AAR71" s="41"/>
      <c r="AAS71" s="41"/>
      <c r="AAT71" s="41"/>
      <c r="AAU71" s="41"/>
      <c r="AAV71" s="41"/>
      <c r="AAW71" s="42"/>
      <c r="AAX71" s="40"/>
      <c r="AAY71" s="66"/>
      <c r="AAZ71" s="66"/>
      <c r="ABA71" s="66"/>
      <c r="ABB71" s="41"/>
      <c r="ABC71" s="134"/>
      <c r="ABD71" s="41"/>
      <c r="ABE71" s="41"/>
      <c r="ABF71" s="41"/>
      <c r="ABG71" s="41"/>
      <c r="ABH71" s="41"/>
      <c r="ABI71" s="139"/>
      <c r="ABJ71" s="41"/>
      <c r="ABK71" s="41"/>
      <c r="ABL71" s="41"/>
      <c r="ABM71" s="41"/>
      <c r="ABN71" s="41"/>
      <c r="ABO71" s="76"/>
      <c r="ABP71" s="41"/>
      <c r="ABQ71" s="41"/>
      <c r="ABR71" s="41"/>
      <c r="ABS71" s="41"/>
      <c r="ABT71" s="41"/>
      <c r="ABU71" s="139"/>
      <c r="ABV71" s="41"/>
      <c r="ABW71" s="41"/>
      <c r="ABX71" s="41"/>
      <c r="ABY71" s="41"/>
      <c r="ABZ71" s="41"/>
      <c r="ACA71" s="76"/>
      <c r="ACB71" s="66"/>
      <c r="ACC71" s="66"/>
      <c r="ACD71" s="66"/>
      <c r="ACE71" s="66"/>
      <c r="ACF71" s="41"/>
      <c r="ACG71" s="139"/>
      <c r="ACH71" s="41"/>
      <c r="ACI71" s="41"/>
      <c r="ACJ71" s="41"/>
      <c r="ACK71" s="41"/>
      <c r="ACL71" s="41"/>
      <c r="ACM71" s="76"/>
      <c r="ACN71" s="41"/>
      <c r="ACO71" s="41"/>
      <c r="ACP71" s="41"/>
      <c r="ACQ71" s="41"/>
      <c r="ACR71" s="41"/>
      <c r="ACS71" s="139"/>
      <c r="ACT71" s="41"/>
      <c r="ACU71" s="41"/>
      <c r="ACV71" s="41"/>
      <c r="ACW71" s="41"/>
      <c r="ACX71" s="41"/>
      <c r="ACY71" s="76"/>
      <c r="ACZ71" s="41"/>
      <c r="ADA71" s="41"/>
      <c r="ADB71" s="41"/>
      <c r="ADC71" s="41"/>
      <c r="ADD71" s="41"/>
      <c r="ADE71" s="42"/>
      <c r="ADF71" s="40"/>
      <c r="ADG71" s="66"/>
      <c r="ADH71" s="66"/>
      <c r="ADI71" s="66"/>
      <c r="ADJ71" s="41"/>
      <c r="ADK71" s="134"/>
      <c r="ADL71" s="41"/>
      <c r="ADM71" s="41"/>
      <c r="ADN71" s="41"/>
      <c r="ADO71" s="41"/>
      <c r="ADP71" s="41"/>
      <c r="ADQ71" s="139"/>
      <c r="ADR71" s="41"/>
      <c r="ADS71" s="41"/>
      <c r="ADT71" s="41"/>
      <c r="ADU71" s="41"/>
      <c r="ADV71" s="41"/>
      <c r="ADW71" s="76"/>
      <c r="ADX71" s="41"/>
      <c r="ADY71" s="41"/>
      <c r="ADZ71" s="41"/>
      <c r="AEA71" s="41"/>
      <c r="AEB71" s="41"/>
      <c r="AEC71" s="139"/>
      <c r="AED71" s="41"/>
      <c r="AEE71" s="41"/>
      <c r="AEF71" s="41"/>
      <c r="AEG71" s="41"/>
      <c r="AEH71" s="41"/>
      <c r="AEI71" s="76"/>
      <c r="AEJ71" s="66"/>
      <c r="AEK71" s="66"/>
      <c r="AEL71" s="66"/>
      <c r="AEM71" s="66"/>
      <c r="AEN71" s="41"/>
      <c r="AEO71" s="139"/>
      <c r="AEP71" s="41"/>
      <c r="AEQ71" s="41"/>
      <c r="AER71" s="41"/>
      <c r="AES71" s="41"/>
      <c r="AET71" s="41"/>
      <c r="AEU71" s="76"/>
      <c r="AEV71" s="41"/>
      <c r="AEW71" s="41"/>
      <c r="AEX71" s="41"/>
      <c r="AEY71" s="41"/>
      <c r="AEZ71" s="41"/>
      <c r="AFA71" s="139"/>
      <c r="AFB71" s="41"/>
      <c r="AFC71" s="41"/>
      <c r="AFD71" s="41"/>
      <c r="AFE71" s="41"/>
      <c r="AFF71" s="41"/>
      <c r="AFG71" s="76"/>
      <c r="AFH71" s="41"/>
      <c r="AFI71" s="41"/>
      <c r="AFJ71" s="41"/>
      <c r="AFK71" s="41"/>
      <c r="AFL71" s="41"/>
      <c r="AFM71" s="42"/>
      <c r="AFN71" s="90"/>
    </row>
    <row r="72" spans="1:846" ht="20.100000000000001" customHeight="1" x14ac:dyDescent="0.25">
      <c r="A72" s="100" t="s">
        <v>21</v>
      </c>
      <c r="B72" s="63"/>
      <c r="C72" s="220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28"/>
      <c r="RS72" s="67"/>
      <c r="RT72" s="67"/>
      <c r="RU72" s="67"/>
      <c r="RV72" s="29"/>
      <c r="RW72" s="131"/>
      <c r="RX72" s="29"/>
      <c r="RY72" s="29"/>
      <c r="RZ72" s="29"/>
      <c r="SA72" s="29"/>
      <c r="SB72" s="29"/>
      <c r="SC72" s="136"/>
      <c r="SD72" s="29"/>
      <c r="SE72" s="29"/>
      <c r="SF72" s="29"/>
      <c r="SG72" s="29"/>
      <c r="SH72" s="29"/>
      <c r="SI72" s="73"/>
      <c r="SJ72" s="29"/>
      <c r="SK72" s="29"/>
      <c r="SL72" s="29"/>
      <c r="SM72" s="29"/>
      <c r="SN72" s="29"/>
      <c r="SO72" s="136"/>
      <c r="SP72" s="29"/>
      <c r="SQ72" s="29"/>
      <c r="SR72" s="29"/>
      <c r="SS72" s="29"/>
      <c r="ST72" s="29"/>
      <c r="SU72" s="73"/>
      <c r="SV72" s="67"/>
      <c r="SW72" s="67"/>
      <c r="SX72" s="67"/>
      <c r="SY72" s="67"/>
      <c r="SZ72" s="29"/>
      <c r="TA72" s="136"/>
      <c r="TB72" s="29"/>
      <c r="TC72" s="29"/>
      <c r="TD72" s="29"/>
      <c r="TE72" s="29"/>
      <c r="TF72" s="29"/>
      <c r="TG72" s="73"/>
      <c r="TH72" s="29"/>
      <c r="TI72" s="29"/>
      <c r="TJ72" s="29"/>
      <c r="TK72" s="29"/>
      <c r="TL72" s="29"/>
      <c r="TM72" s="136"/>
      <c r="TN72" s="29"/>
      <c r="TO72" s="29"/>
      <c r="TP72" s="29"/>
      <c r="TQ72" s="29"/>
      <c r="TR72" s="29"/>
      <c r="TS72" s="73"/>
      <c r="TT72" s="29"/>
      <c r="TU72" s="29"/>
      <c r="TV72" s="29"/>
      <c r="TW72" s="29"/>
      <c r="TX72" s="29"/>
      <c r="TY72" s="30"/>
      <c r="TZ72" s="28"/>
      <c r="UA72" s="67"/>
      <c r="UB72" s="67"/>
      <c r="UC72" s="67"/>
      <c r="UD72" s="29"/>
      <c r="UE72" s="131"/>
      <c r="UF72" s="29"/>
      <c r="UG72" s="29"/>
      <c r="UH72" s="29"/>
      <c r="UI72" s="29"/>
      <c r="UJ72" s="29"/>
      <c r="UK72" s="136"/>
      <c r="UL72" s="29"/>
      <c r="UM72" s="29"/>
      <c r="UN72" s="29"/>
      <c r="UO72" s="29"/>
      <c r="UP72" s="29"/>
      <c r="UQ72" s="73"/>
      <c r="UR72" s="29"/>
      <c r="US72" s="29"/>
      <c r="UT72" s="29"/>
      <c r="UU72" s="29"/>
      <c r="UV72" s="29"/>
      <c r="UW72" s="136"/>
      <c r="UX72" s="29"/>
      <c r="UY72" s="29"/>
      <c r="UZ72" s="29"/>
      <c r="VA72" s="29"/>
      <c r="VB72" s="29"/>
      <c r="VC72" s="73"/>
      <c r="VD72" s="67"/>
      <c r="VE72" s="67"/>
      <c r="VF72" s="67"/>
      <c r="VG72" s="67"/>
      <c r="VH72" s="29"/>
      <c r="VI72" s="136"/>
      <c r="VJ72" s="29"/>
      <c r="VK72" s="29"/>
      <c r="VL72" s="29"/>
      <c r="VM72" s="29"/>
      <c r="VN72" s="29"/>
      <c r="VO72" s="73"/>
      <c r="VP72" s="29"/>
      <c r="VQ72" s="29"/>
      <c r="VR72" s="29"/>
      <c r="VS72" s="29"/>
      <c r="VT72" s="29"/>
      <c r="VU72" s="136"/>
      <c r="VV72" s="29"/>
      <c r="VW72" s="29"/>
      <c r="VX72" s="29"/>
      <c r="VY72" s="29"/>
      <c r="VZ72" s="29"/>
      <c r="WA72" s="73"/>
      <c r="WB72" s="29"/>
      <c r="WC72" s="29"/>
      <c r="WD72" s="29"/>
      <c r="WE72" s="29"/>
      <c r="WF72" s="29"/>
      <c r="WG72" s="30"/>
      <c r="WH72" s="28"/>
      <c r="WI72" s="67"/>
      <c r="WJ72" s="67"/>
      <c r="WK72" s="67"/>
      <c r="WL72" s="29"/>
      <c r="WM72" s="131"/>
      <c r="WN72" s="29"/>
      <c r="WO72" s="29"/>
      <c r="WP72" s="29"/>
      <c r="WQ72" s="29"/>
      <c r="WR72" s="29"/>
      <c r="WS72" s="136"/>
      <c r="WT72" s="29"/>
      <c r="WU72" s="29"/>
      <c r="WV72" s="29"/>
      <c r="WW72" s="29"/>
      <c r="WX72" s="29"/>
      <c r="WY72" s="73"/>
      <c r="WZ72" s="29"/>
      <c r="XA72" s="29"/>
      <c r="XB72" s="29"/>
      <c r="XC72" s="29"/>
      <c r="XD72" s="29"/>
      <c r="XE72" s="136"/>
      <c r="XF72" s="29"/>
      <c r="XG72" s="29"/>
      <c r="XH72" s="29"/>
      <c r="XI72" s="29"/>
      <c r="XJ72" s="29"/>
      <c r="XK72" s="73"/>
      <c r="XL72" s="67"/>
      <c r="XM72" s="67"/>
      <c r="XN72" s="67"/>
      <c r="XO72" s="67"/>
      <c r="XP72" s="29"/>
      <c r="XQ72" s="136"/>
      <c r="XR72" s="29"/>
      <c r="XS72" s="29"/>
      <c r="XT72" s="29"/>
      <c r="XU72" s="29"/>
      <c r="XV72" s="29"/>
      <c r="XW72" s="73"/>
      <c r="XX72" s="29"/>
      <c r="XY72" s="29"/>
      <c r="XZ72" s="29"/>
      <c r="YA72" s="29"/>
      <c r="YB72" s="29"/>
      <c r="YC72" s="136"/>
      <c r="YD72" s="29"/>
      <c r="YE72" s="29"/>
      <c r="YF72" s="29"/>
      <c r="YG72" s="29"/>
      <c r="YH72" s="29"/>
      <c r="YI72" s="73"/>
      <c r="YJ72" s="29"/>
      <c r="YK72" s="29"/>
      <c r="YL72" s="29"/>
      <c r="YM72" s="29"/>
      <c r="YN72" s="29"/>
      <c r="YO72" s="30"/>
      <c r="YP72" s="28"/>
      <c r="YQ72" s="67"/>
      <c r="YR72" s="67"/>
      <c r="YS72" s="67"/>
      <c r="YT72" s="29"/>
      <c r="YU72" s="131"/>
      <c r="YV72" s="29"/>
      <c r="YW72" s="29"/>
      <c r="YX72" s="29"/>
      <c r="YY72" s="29"/>
      <c r="YZ72" s="29"/>
      <c r="ZA72" s="136"/>
      <c r="ZB72" s="29"/>
      <c r="ZC72" s="29"/>
      <c r="ZD72" s="29"/>
      <c r="ZE72" s="29"/>
      <c r="ZF72" s="29"/>
      <c r="ZG72" s="73"/>
      <c r="ZH72" s="29"/>
      <c r="ZI72" s="29"/>
      <c r="ZJ72" s="29"/>
      <c r="ZK72" s="29"/>
      <c r="ZL72" s="29"/>
      <c r="ZM72" s="136"/>
      <c r="ZN72" s="29"/>
      <c r="ZO72" s="29"/>
      <c r="ZP72" s="29"/>
      <c r="ZQ72" s="29"/>
      <c r="ZR72" s="29"/>
      <c r="ZS72" s="73"/>
      <c r="ZT72" s="67"/>
      <c r="ZU72" s="67"/>
      <c r="ZV72" s="67"/>
      <c r="ZW72" s="67"/>
      <c r="ZX72" s="29"/>
      <c r="ZY72" s="136"/>
      <c r="ZZ72" s="29"/>
      <c r="AAA72" s="29"/>
      <c r="AAB72" s="29"/>
      <c r="AAC72" s="29"/>
      <c r="AAD72" s="29"/>
      <c r="AAE72" s="73"/>
      <c r="AAF72" s="29"/>
      <c r="AAG72" s="29"/>
      <c r="AAH72" s="29"/>
      <c r="AAI72" s="29"/>
      <c r="AAJ72" s="29"/>
      <c r="AAK72" s="136"/>
      <c r="AAL72" s="29"/>
      <c r="AAM72" s="29"/>
      <c r="AAN72" s="29"/>
      <c r="AAO72" s="29"/>
      <c r="AAP72" s="29"/>
      <c r="AAQ72" s="73"/>
      <c r="AAR72" s="29"/>
      <c r="AAS72" s="29"/>
      <c r="AAT72" s="29"/>
      <c r="AAU72" s="29"/>
      <c r="AAV72" s="29"/>
      <c r="AAW72" s="30"/>
      <c r="AAX72" s="28"/>
      <c r="AAY72" s="67"/>
      <c r="AAZ72" s="67"/>
      <c r="ABA72" s="67"/>
      <c r="ABB72" s="29"/>
      <c r="ABC72" s="131"/>
      <c r="ABD72" s="29"/>
      <c r="ABE72" s="29"/>
      <c r="ABF72" s="29"/>
      <c r="ABG72" s="29"/>
      <c r="ABH72" s="29"/>
      <c r="ABI72" s="136"/>
      <c r="ABJ72" s="29"/>
      <c r="ABK72" s="29"/>
      <c r="ABL72" s="29"/>
      <c r="ABM72" s="29"/>
      <c r="ABN72" s="29"/>
      <c r="ABO72" s="73"/>
      <c r="ABP72" s="29"/>
      <c r="ABQ72" s="29"/>
      <c r="ABR72" s="29"/>
      <c r="ABS72" s="29"/>
      <c r="ABT72" s="29"/>
      <c r="ABU72" s="136"/>
      <c r="ABV72" s="29"/>
      <c r="ABW72" s="29"/>
      <c r="ABX72" s="29"/>
      <c r="ABY72" s="29"/>
      <c r="ABZ72" s="29"/>
      <c r="ACA72" s="73"/>
      <c r="ACB72" s="67"/>
      <c r="ACC72" s="67"/>
      <c r="ACD72" s="67"/>
      <c r="ACE72" s="67"/>
      <c r="ACF72" s="29"/>
      <c r="ACG72" s="136"/>
      <c r="ACH72" s="29"/>
      <c r="ACI72" s="29"/>
      <c r="ACJ72" s="29"/>
      <c r="ACK72" s="29"/>
      <c r="ACL72" s="29"/>
      <c r="ACM72" s="73"/>
      <c r="ACN72" s="29"/>
      <c r="ACO72" s="29"/>
      <c r="ACP72" s="29"/>
      <c r="ACQ72" s="29"/>
      <c r="ACR72" s="29"/>
      <c r="ACS72" s="136"/>
      <c r="ACT72" s="29"/>
      <c r="ACU72" s="29"/>
      <c r="ACV72" s="29"/>
      <c r="ACW72" s="29"/>
      <c r="ACX72" s="29"/>
      <c r="ACY72" s="73"/>
      <c r="ACZ72" s="29"/>
      <c r="ADA72" s="29"/>
      <c r="ADB72" s="29"/>
      <c r="ADC72" s="29"/>
      <c r="ADD72" s="29"/>
      <c r="ADE72" s="30"/>
      <c r="ADF72" s="28"/>
      <c r="ADG72" s="67"/>
      <c r="ADH72" s="67"/>
      <c r="ADI72" s="67"/>
      <c r="ADJ72" s="29"/>
      <c r="ADK72" s="131"/>
      <c r="ADL72" s="29"/>
      <c r="ADM72" s="29"/>
      <c r="ADN72" s="29"/>
      <c r="ADO72" s="29"/>
      <c r="ADP72" s="29"/>
      <c r="ADQ72" s="136"/>
      <c r="ADR72" s="29"/>
      <c r="ADS72" s="29"/>
      <c r="ADT72" s="29"/>
      <c r="ADU72" s="29"/>
      <c r="ADV72" s="29"/>
      <c r="ADW72" s="73"/>
      <c r="ADX72" s="29"/>
      <c r="ADY72" s="29"/>
      <c r="ADZ72" s="29"/>
      <c r="AEA72" s="29"/>
      <c r="AEB72" s="29"/>
      <c r="AEC72" s="136"/>
      <c r="AED72" s="29"/>
      <c r="AEE72" s="29"/>
      <c r="AEF72" s="29"/>
      <c r="AEG72" s="29"/>
      <c r="AEH72" s="29"/>
      <c r="AEI72" s="73"/>
      <c r="AEJ72" s="67"/>
      <c r="AEK72" s="67"/>
      <c r="AEL72" s="67"/>
      <c r="AEM72" s="67"/>
      <c r="AEN72" s="29"/>
      <c r="AEO72" s="136"/>
      <c r="AEP72" s="29"/>
      <c r="AEQ72" s="29"/>
      <c r="AER72" s="29"/>
      <c r="AES72" s="29"/>
      <c r="AET72" s="29"/>
      <c r="AEU72" s="73"/>
      <c r="AEV72" s="29"/>
      <c r="AEW72" s="29"/>
      <c r="AEX72" s="29"/>
      <c r="AEY72" s="29"/>
      <c r="AEZ72" s="29"/>
      <c r="AFA72" s="136"/>
      <c r="AFB72" s="29"/>
      <c r="AFC72" s="29"/>
      <c r="AFD72" s="29"/>
      <c r="AFE72" s="29"/>
      <c r="AFF72" s="29"/>
      <c r="AFG72" s="73"/>
      <c r="AFH72" s="29"/>
      <c r="AFI72" s="29"/>
      <c r="AFJ72" s="29"/>
      <c r="AFK72" s="29"/>
      <c r="AFL72" s="29"/>
      <c r="AFM72" s="30"/>
      <c r="AFN72" s="90"/>
    </row>
    <row r="73" spans="1:846" ht="20.100000000000001" customHeight="1" x14ac:dyDescent="0.25">
      <c r="A73" s="100" t="s">
        <v>20</v>
      </c>
      <c r="B73" s="63"/>
      <c r="C73" s="218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32"/>
      <c r="RS73" s="64"/>
      <c r="RT73" s="64"/>
      <c r="RU73" s="64"/>
      <c r="RV73" s="33"/>
      <c r="RW73" s="132"/>
      <c r="RX73" s="33"/>
      <c r="RY73" s="33"/>
      <c r="RZ73" s="33"/>
      <c r="SA73" s="33"/>
      <c r="SB73" s="33"/>
      <c r="SC73" s="137"/>
      <c r="SD73" s="33"/>
      <c r="SE73" s="33"/>
      <c r="SF73" s="33"/>
      <c r="SG73" s="33"/>
      <c r="SH73" s="33"/>
      <c r="SI73" s="74"/>
      <c r="SJ73" s="33"/>
      <c r="SK73" s="33"/>
      <c r="SL73" s="33"/>
      <c r="SM73" s="33"/>
      <c r="SN73" s="33"/>
      <c r="SO73" s="137"/>
      <c r="SP73" s="33"/>
      <c r="SQ73" s="33"/>
      <c r="SR73" s="33"/>
      <c r="SS73" s="33"/>
      <c r="ST73" s="33"/>
      <c r="SU73" s="74"/>
      <c r="SV73" s="64"/>
      <c r="SW73" s="64"/>
      <c r="SX73" s="64"/>
      <c r="SY73" s="64"/>
      <c r="SZ73" s="33"/>
      <c r="TA73" s="137"/>
      <c r="TB73" s="33"/>
      <c r="TC73" s="33"/>
      <c r="TD73" s="33"/>
      <c r="TE73" s="33"/>
      <c r="TF73" s="33"/>
      <c r="TG73" s="74"/>
      <c r="TH73" s="33"/>
      <c r="TI73" s="33"/>
      <c r="TJ73" s="33"/>
      <c r="TK73" s="33"/>
      <c r="TL73" s="33"/>
      <c r="TM73" s="137"/>
      <c r="TN73" s="33"/>
      <c r="TO73" s="33"/>
      <c r="TP73" s="33"/>
      <c r="TQ73" s="33"/>
      <c r="TR73" s="33"/>
      <c r="TS73" s="74"/>
      <c r="TT73" s="33"/>
      <c r="TU73" s="33"/>
      <c r="TV73" s="33"/>
      <c r="TW73" s="33"/>
      <c r="TX73" s="33"/>
      <c r="TY73" s="34"/>
      <c r="TZ73" s="32"/>
      <c r="UA73" s="64"/>
      <c r="UB73" s="64"/>
      <c r="UC73" s="64"/>
      <c r="UD73" s="33"/>
      <c r="UE73" s="132"/>
      <c r="UF73" s="33"/>
      <c r="UG73" s="33"/>
      <c r="UH73" s="33"/>
      <c r="UI73" s="33"/>
      <c r="UJ73" s="33"/>
      <c r="UK73" s="137"/>
      <c r="UL73" s="33"/>
      <c r="UM73" s="33"/>
      <c r="UN73" s="33"/>
      <c r="UO73" s="33"/>
      <c r="UP73" s="33"/>
      <c r="UQ73" s="74"/>
      <c r="UR73" s="33"/>
      <c r="US73" s="33"/>
      <c r="UT73" s="33"/>
      <c r="UU73" s="33"/>
      <c r="UV73" s="33"/>
      <c r="UW73" s="137"/>
      <c r="UX73" s="33"/>
      <c r="UY73" s="33"/>
      <c r="UZ73" s="33"/>
      <c r="VA73" s="33"/>
      <c r="VB73" s="33"/>
      <c r="VC73" s="74"/>
      <c r="VD73" s="64"/>
      <c r="VE73" s="64"/>
      <c r="VF73" s="64"/>
      <c r="VG73" s="64"/>
      <c r="VH73" s="33"/>
      <c r="VI73" s="137"/>
      <c r="VJ73" s="33"/>
      <c r="VK73" s="33"/>
      <c r="VL73" s="33"/>
      <c r="VM73" s="33"/>
      <c r="VN73" s="33"/>
      <c r="VO73" s="74"/>
      <c r="VP73" s="33"/>
      <c r="VQ73" s="33"/>
      <c r="VR73" s="33"/>
      <c r="VS73" s="33"/>
      <c r="VT73" s="33"/>
      <c r="VU73" s="137"/>
      <c r="VV73" s="33"/>
      <c r="VW73" s="33"/>
      <c r="VX73" s="33"/>
      <c r="VY73" s="33"/>
      <c r="VZ73" s="33"/>
      <c r="WA73" s="74"/>
      <c r="WB73" s="33"/>
      <c r="WC73" s="33"/>
      <c r="WD73" s="33"/>
      <c r="WE73" s="33"/>
      <c r="WF73" s="33"/>
      <c r="WG73" s="34"/>
      <c r="WH73" s="32"/>
      <c r="WI73" s="64"/>
      <c r="WJ73" s="64"/>
      <c r="WK73" s="64"/>
      <c r="WL73" s="33"/>
      <c r="WM73" s="132"/>
      <c r="WN73" s="33"/>
      <c r="WO73" s="33"/>
      <c r="WP73" s="33"/>
      <c r="WQ73" s="33"/>
      <c r="WR73" s="33"/>
      <c r="WS73" s="137"/>
      <c r="WT73" s="33"/>
      <c r="WU73" s="33"/>
      <c r="WV73" s="33"/>
      <c r="WW73" s="33"/>
      <c r="WX73" s="33"/>
      <c r="WY73" s="74"/>
      <c r="WZ73" s="33"/>
      <c r="XA73" s="33"/>
      <c r="XB73" s="33"/>
      <c r="XC73" s="33"/>
      <c r="XD73" s="33"/>
      <c r="XE73" s="137"/>
      <c r="XF73" s="33"/>
      <c r="XG73" s="33"/>
      <c r="XH73" s="33"/>
      <c r="XI73" s="33"/>
      <c r="XJ73" s="33"/>
      <c r="XK73" s="74"/>
      <c r="XL73" s="64"/>
      <c r="XM73" s="64"/>
      <c r="XN73" s="64"/>
      <c r="XO73" s="64"/>
      <c r="XP73" s="33"/>
      <c r="XQ73" s="137"/>
      <c r="XR73" s="33"/>
      <c r="XS73" s="33"/>
      <c r="XT73" s="33"/>
      <c r="XU73" s="33"/>
      <c r="XV73" s="33"/>
      <c r="XW73" s="74"/>
      <c r="XX73" s="33"/>
      <c r="XY73" s="33"/>
      <c r="XZ73" s="33"/>
      <c r="YA73" s="33"/>
      <c r="YB73" s="33"/>
      <c r="YC73" s="137"/>
      <c r="YD73" s="33"/>
      <c r="YE73" s="33"/>
      <c r="YF73" s="33"/>
      <c r="YG73" s="33"/>
      <c r="YH73" s="33"/>
      <c r="YI73" s="74"/>
      <c r="YJ73" s="33"/>
      <c r="YK73" s="33"/>
      <c r="YL73" s="33"/>
      <c r="YM73" s="33"/>
      <c r="YN73" s="33"/>
      <c r="YO73" s="34"/>
      <c r="YP73" s="32"/>
      <c r="YQ73" s="64"/>
      <c r="YR73" s="64"/>
      <c r="YS73" s="64"/>
      <c r="YT73" s="33"/>
      <c r="YU73" s="132"/>
      <c r="YV73" s="33"/>
      <c r="YW73" s="33"/>
      <c r="YX73" s="33"/>
      <c r="YY73" s="33"/>
      <c r="YZ73" s="33"/>
      <c r="ZA73" s="137"/>
      <c r="ZB73" s="33"/>
      <c r="ZC73" s="33"/>
      <c r="ZD73" s="33"/>
      <c r="ZE73" s="33"/>
      <c r="ZF73" s="33"/>
      <c r="ZG73" s="74"/>
      <c r="ZH73" s="33"/>
      <c r="ZI73" s="33"/>
      <c r="ZJ73" s="33"/>
      <c r="ZK73" s="33"/>
      <c r="ZL73" s="33"/>
      <c r="ZM73" s="137"/>
      <c r="ZN73" s="33"/>
      <c r="ZO73" s="33"/>
      <c r="ZP73" s="33"/>
      <c r="ZQ73" s="33"/>
      <c r="ZR73" s="33"/>
      <c r="ZS73" s="74"/>
      <c r="ZT73" s="64"/>
      <c r="ZU73" s="64"/>
      <c r="ZV73" s="64"/>
      <c r="ZW73" s="64"/>
      <c r="ZX73" s="33"/>
      <c r="ZY73" s="137"/>
      <c r="ZZ73" s="33"/>
      <c r="AAA73" s="33"/>
      <c r="AAB73" s="33"/>
      <c r="AAC73" s="33"/>
      <c r="AAD73" s="33"/>
      <c r="AAE73" s="74"/>
      <c r="AAF73" s="33"/>
      <c r="AAG73" s="33"/>
      <c r="AAH73" s="33"/>
      <c r="AAI73" s="33"/>
      <c r="AAJ73" s="33"/>
      <c r="AAK73" s="137"/>
      <c r="AAL73" s="33"/>
      <c r="AAM73" s="33"/>
      <c r="AAN73" s="33"/>
      <c r="AAO73" s="33"/>
      <c r="AAP73" s="33"/>
      <c r="AAQ73" s="74"/>
      <c r="AAR73" s="33"/>
      <c r="AAS73" s="33"/>
      <c r="AAT73" s="33"/>
      <c r="AAU73" s="33"/>
      <c r="AAV73" s="33"/>
      <c r="AAW73" s="34"/>
      <c r="AAX73" s="32"/>
      <c r="AAY73" s="64"/>
      <c r="AAZ73" s="64"/>
      <c r="ABA73" s="64"/>
      <c r="ABB73" s="33"/>
      <c r="ABC73" s="132"/>
      <c r="ABD73" s="33"/>
      <c r="ABE73" s="33"/>
      <c r="ABF73" s="33"/>
      <c r="ABG73" s="33"/>
      <c r="ABH73" s="33"/>
      <c r="ABI73" s="137"/>
      <c r="ABJ73" s="33"/>
      <c r="ABK73" s="33"/>
      <c r="ABL73" s="33"/>
      <c r="ABM73" s="33"/>
      <c r="ABN73" s="33"/>
      <c r="ABO73" s="74"/>
      <c r="ABP73" s="33"/>
      <c r="ABQ73" s="33"/>
      <c r="ABR73" s="33"/>
      <c r="ABS73" s="33"/>
      <c r="ABT73" s="33"/>
      <c r="ABU73" s="137"/>
      <c r="ABV73" s="33"/>
      <c r="ABW73" s="33"/>
      <c r="ABX73" s="33"/>
      <c r="ABY73" s="33"/>
      <c r="ABZ73" s="33"/>
      <c r="ACA73" s="74"/>
      <c r="ACB73" s="64"/>
      <c r="ACC73" s="64"/>
      <c r="ACD73" s="64"/>
      <c r="ACE73" s="64"/>
      <c r="ACF73" s="33"/>
      <c r="ACG73" s="137"/>
      <c r="ACH73" s="33"/>
      <c r="ACI73" s="33"/>
      <c r="ACJ73" s="33"/>
      <c r="ACK73" s="33"/>
      <c r="ACL73" s="33"/>
      <c r="ACM73" s="74"/>
      <c r="ACN73" s="33"/>
      <c r="ACO73" s="33"/>
      <c r="ACP73" s="33"/>
      <c r="ACQ73" s="33"/>
      <c r="ACR73" s="33"/>
      <c r="ACS73" s="137"/>
      <c r="ACT73" s="33"/>
      <c r="ACU73" s="33"/>
      <c r="ACV73" s="33"/>
      <c r="ACW73" s="33"/>
      <c r="ACX73" s="33"/>
      <c r="ACY73" s="74"/>
      <c r="ACZ73" s="33"/>
      <c r="ADA73" s="33"/>
      <c r="ADB73" s="33"/>
      <c r="ADC73" s="33"/>
      <c r="ADD73" s="33"/>
      <c r="ADE73" s="34"/>
      <c r="ADF73" s="32"/>
      <c r="ADG73" s="64"/>
      <c r="ADH73" s="64"/>
      <c r="ADI73" s="64"/>
      <c r="ADJ73" s="33"/>
      <c r="ADK73" s="132"/>
      <c r="ADL73" s="33"/>
      <c r="ADM73" s="33"/>
      <c r="ADN73" s="33"/>
      <c r="ADO73" s="33"/>
      <c r="ADP73" s="33"/>
      <c r="ADQ73" s="137"/>
      <c r="ADR73" s="33"/>
      <c r="ADS73" s="33"/>
      <c r="ADT73" s="33"/>
      <c r="ADU73" s="33"/>
      <c r="ADV73" s="33"/>
      <c r="ADW73" s="74"/>
      <c r="ADX73" s="33"/>
      <c r="ADY73" s="33"/>
      <c r="ADZ73" s="33"/>
      <c r="AEA73" s="33"/>
      <c r="AEB73" s="33"/>
      <c r="AEC73" s="137"/>
      <c r="AED73" s="33"/>
      <c r="AEE73" s="33"/>
      <c r="AEF73" s="33"/>
      <c r="AEG73" s="33"/>
      <c r="AEH73" s="33"/>
      <c r="AEI73" s="74"/>
      <c r="AEJ73" s="64"/>
      <c r="AEK73" s="64"/>
      <c r="AEL73" s="64"/>
      <c r="AEM73" s="64"/>
      <c r="AEN73" s="33"/>
      <c r="AEO73" s="137"/>
      <c r="AEP73" s="33"/>
      <c r="AEQ73" s="33"/>
      <c r="AER73" s="33"/>
      <c r="AES73" s="33"/>
      <c r="AET73" s="33"/>
      <c r="AEU73" s="74"/>
      <c r="AEV73" s="33"/>
      <c r="AEW73" s="33"/>
      <c r="AEX73" s="33"/>
      <c r="AEY73" s="33"/>
      <c r="AEZ73" s="33"/>
      <c r="AFA73" s="137"/>
      <c r="AFB73" s="33"/>
      <c r="AFC73" s="33"/>
      <c r="AFD73" s="33"/>
      <c r="AFE73" s="33"/>
      <c r="AFF73" s="33"/>
      <c r="AFG73" s="74"/>
      <c r="AFH73" s="33"/>
      <c r="AFI73" s="33"/>
      <c r="AFJ73" s="33"/>
      <c r="AFK73" s="33"/>
      <c r="AFL73" s="33"/>
      <c r="AFM73" s="34"/>
      <c r="AFN73" s="90"/>
    </row>
    <row r="74" spans="1:846" ht="20.100000000000001" customHeight="1" x14ac:dyDescent="0.3">
      <c r="A74" s="100" t="s">
        <v>21</v>
      </c>
      <c r="B74" s="63"/>
      <c r="C74" s="219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36"/>
      <c r="RS74" s="65"/>
      <c r="RT74" s="65"/>
      <c r="RU74" s="65"/>
      <c r="RV74" s="37"/>
      <c r="RW74" s="133"/>
      <c r="RX74" s="37"/>
      <c r="RY74" s="37"/>
      <c r="RZ74" s="37"/>
      <c r="SA74" s="37"/>
      <c r="SB74" s="37"/>
      <c r="SC74" s="138"/>
      <c r="SD74" s="37"/>
      <c r="SE74" s="37"/>
      <c r="SF74" s="37"/>
      <c r="SG74" s="37"/>
      <c r="SH74" s="37"/>
      <c r="SI74" s="75"/>
      <c r="SJ74" s="37"/>
      <c r="SK74" s="37"/>
      <c r="SL74" s="37"/>
      <c r="SM74" s="37"/>
      <c r="SN74" s="37"/>
      <c r="SO74" s="138"/>
      <c r="SP74" s="37"/>
      <c r="SQ74" s="37"/>
      <c r="SR74" s="37"/>
      <c r="SS74" s="37"/>
      <c r="ST74" s="37"/>
      <c r="SU74" s="75"/>
      <c r="SV74" s="65"/>
      <c r="SW74" s="65"/>
      <c r="SX74" s="65"/>
      <c r="SY74" s="65"/>
      <c r="SZ74" s="37"/>
      <c r="TA74" s="138"/>
      <c r="TB74" s="37"/>
      <c r="TC74" s="37"/>
      <c r="TD74" s="37"/>
      <c r="TE74" s="37"/>
      <c r="TF74" s="37"/>
      <c r="TG74" s="75"/>
      <c r="TH74" s="37"/>
      <c r="TI74" s="37"/>
      <c r="TJ74" s="37"/>
      <c r="TK74" s="37"/>
      <c r="TL74" s="37"/>
      <c r="TM74" s="138"/>
      <c r="TN74" s="37"/>
      <c r="TO74" s="37"/>
      <c r="TP74" s="37"/>
      <c r="TQ74" s="37"/>
      <c r="TR74" s="37"/>
      <c r="TS74" s="75"/>
      <c r="TT74" s="37"/>
      <c r="TU74" s="37"/>
      <c r="TV74" s="37"/>
      <c r="TW74" s="37"/>
      <c r="TX74" s="37"/>
      <c r="TY74" s="38"/>
      <c r="TZ74" s="36"/>
      <c r="UA74" s="65"/>
      <c r="UB74" s="65"/>
      <c r="UC74" s="65"/>
      <c r="UD74" s="37"/>
      <c r="UE74" s="133"/>
      <c r="UF74" s="37"/>
      <c r="UG74" s="37"/>
      <c r="UH74" s="37"/>
      <c r="UI74" s="37"/>
      <c r="UJ74" s="37"/>
      <c r="UK74" s="138"/>
      <c r="UL74" s="37"/>
      <c r="UM74" s="37"/>
      <c r="UN74" s="37"/>
      <c r="UO74" s="37"/>
      <c r="UP74" s="37"/>
      <c r="UQ74" s="75"/>
      <c r="UR74" s="37"/>
      <c r="US74" s="37"/>
      <c r="UT74" s="37"/>
      <c r="UU74" s="37"/>
      <c r="UV74" s="37"/>
      <c r="UW74" s="138"/>
      <c r="UX74" s="37"/>
      <c r="UY74" s="37"/>
      <c r="UZ74" s="37"/>
      <c r="VA74" s="37"/>
      <c r="VB74" s="37"/>
      <c r="VC74" s="75"/>
      <c r="VD74" s="65"/>
      <c r="VE74" s="65"/>
      <c r="VF74" s="65"/>
      <c r="VG74" s="65"/>
      <c r="VH74" s="37"/>
      <c r="VI74" s="138"/>
      <c r="VJ74" s="37"/>
      <c r="VK74" s="37"/>
      <c r="VL74" s="37"/>
      <c r="VM74" s="37"/>
      <c r="VN74" s="37"/>
      <c r="VO74" s="75"/>
      <c r="VP74" s="37"/>
      <c r="VQ74" s="37"/>
      <c r="VR74" s="37"/>
      <c r="VS74" s="37"/>
      <c r="VT74" s="37"/>
      <c r="VU74" s="138"/>
      <c r="VV74" s="37"/>
      <c r="VW74" s="37"/>
      <c r="VX74" s="37"/>
      <c r="VY74" s="37"/>
      <c r="VZ74" s="37"/>
      <c r="WA74" s="75"/>
      <c r="WB74" s="37"/>
      <c r="WC74" s="37"/>
      <c r="WD74" s="37"/>
      <c r="WE74" s="37"/>
      <c r="WF74" s="37"/>
      <c r="WG74" s="38"/>
      <c r="WH74" s="36"/>
      <c r="WI74" s="65"/>
      <c r="WJ74" s="65"/>
      <c r="WK74" s="65"/>
      <c r="WL74" s="37"/>
      <c r="WM74" s="133"/>
      <c r="WN74" s="37"/>
      <c r="WO74" s="37"/>
      <c r="WP74" s="37"/>
      <c r="WQ74" s="37"/>
      <c r="WR74" s="37"/>
      <c r="WS74" s="138"/>
      <c r="WT74" s="37"/>
      <c r="WU74" s="37"/>
      <c r="WV74" s="37"/>
      <c r="WW74" s="37"/>
      <c r="WX74" s="37"/>
      <c r="WY74" s="75"/>
      <c r="WZ74" s="37"/>
      <c r="XA74" s="37"/>
      <c r="XB74" s="37"/>
      <c r="XC74" s="37"/>
      <c r="XD74" s="37"/>
      <c r="XE74" s="138"/>
      <c r="XF74" s="37"/>
      <c r="XG74" s="37"/>
      <c r="XH74" s="37"/>
      <c r="XI74" s="37"/>
      <c r="XJ74" s="37"/>
      <c r="XK74" s="75"/>
      <c r="XL74" s="65"/>
      <c r="XM74" s="65"/>
      <c r="XN74" s="65"/>
      <c r="XO74" s="65"/>
      <c r="XP74" s="37"/>
      <c r="XQ74" s="138"/>
      <c r="XR74" s="37"/>
      <c r="XS74" s="37"/>
      <c r="XT74" s="37"/>
      <c r="XU74" s="37"/>
      <c r="XV74" s="37"/>
      <c r="XW74" s="75"/>
      <c r="XX74" s="37"/>
      <c r="XY74" s="37"/>
      <c r="XZ74" s="37"/>
      <c r="YA74" s="37"/>
      <c r="YB74" s="37"/>
      <c r="YC74" s="138"/>
      <c r="YD74" s="37"/>
      <c r="YE74" s="37"/>
      <c r="YF74" s="37"/>
      <c r="YG74" s="37"/>
      <c r="YH74" s="37"/>
      <c r="YI74" s="75"/>
      <c r="YJ74" s="37"/>
      <c r="YK74" s="37"/>
      <c r="YL74" s="37"/>
      <c r="YM74" s="37"/>
      <c r="YN74" s="37"/>
      <c r="YO74" s="38"/>
      <c r="YP74" s="36"/>
      <c r="YQ74" s="65"/>
      <c r="YR74" s="65"/>
      <c r="YS74" s="65"/>
      <c r="YT74" s="37"/>
      <c r="YU74" s="133"/>
      <c r="YV74" s="37"/>
      <c r="YW74" s="37"/>
      <c r="YX74" s="37"/>
      <c r="YY74" s="37"/>
      <c r="YZ74" s="37"/>
      <c r="ZA74" s="138"/>
      <c r="ZB74" s="37"/>
      <c r="ZC74" s="37"/>
      <c r="ZD74" s="37"/>
      <c r="ZE74" s="37"/>
      <c r="ZF74" s="37"/>
      <c r="ZG74" s="75"/>
      <c r="ZH74" s="37"/>
      <c r="ZI74" s="37"/>
      <c r="ZJ74" s="37"/>
      <c r="ZK74" s="37"/>
      <c r="ZL74" s="37"/>
      <c r="ZM74" s="138"/>
      <c r="ZN74" s="37"/>
      <c r="ZO74" s="37"/>
      <c r="ZP74" s="37"/>
      <c r="ZQ74" s="37"/>
      <c r="ZR74" s="37"/>
      <c r="ZS74" s="75"/>
      <c r="ZT74" s="65"/>
      <c r="ZU74" s="65"/>
      <c r="ZV74" s="65"/>
      <c r="ZW74" s="65"/>
      <c r="ZX74" s="37"/>
      <c r="ZY74" s="138"/>
      <c r="ZZ74" s="37"/>
      <c r="AAA74" s="37"/>
      <c r="AAB74" s="37"/>
      <c r="AAC74" s="37"/>
      <c r="AAD74" s="37"/>
      <c r="AAE74" s="75"/>
      <c r="AAF74" s="37"/>
      <c r="AAG74" s="37"/>
      <c r="AAH74" s="37"/>
      <c r="AAI74" s="37"/>
      <c r="AAJ74" s="37"/>
      <c r="AAK74" s="138"/>
      <c r="AAL74" s="37"/>
      <c r="AAM74" s="37"/>
      <c r="AAN74" s="37"/>
      <c r="AAO74" s="37"/>
      <c r="AAP74" s="37"/>
      <c r="AAQ74" s="75"/>
      <c r="AAR74" s="37"/>
      <c r="AAS74" s="37"/>
      <c r="AAT74" s="37"/>
      <c r="AAU74" s="37"/>
      <c r="AAV74" s="37"/>
      <c r="AAW74" s="38"/>
      <c r="AAX74" s="36"/>
      <c r="AAY74" s="65"/>
      <c r="AAZ74" s="65"/>
      <c r="ABA74" s="65"/>
      <c r="ABB74" s="37"/>
      <c r="ABC74" s="133"/>
      <c r="ABD74" s="37"/>
      <c r="ABE74" s="37"/>
      <c r="ABF74" s="37"/>
      <c r="ABG74" s="37"/>
      <c r="ABH74" s="37"/>
      <c r="ABI74" s="138"/>
      <c r="ABJ74" s="37"/>
      <c r="ABK74" s="37"/>
      <c r="ABL74" s="37"/>
      <c r="ABM74" s="37"/>
      <c r="ABN74" s="37"/>
      <c r="ABO74" s="75"/>
      <c r="ABP74" s="37"/>
      <c r="ABQ74" s="37"/>
      <c r="ABR74" s="37"/>
      <c r="ABS74" s="37"/>
      <c r="ABT74" s="37"/>
      <c r="ABU74" s="138"/>
      <c r="ABV74" s="37"/>
      <c r="ABW74" s="37"/>
      <c r="ABX74" s="37"/>
      <c r="ABY74" s="37"/>
      <c r="ABZ74" s="37"/>
      <c r="ACA74" s="75"/>
      <c r="ACB74" s="65"/>
      <c r="ACC74" s="65"/>
      <c r="ACD74" s="65"/>
      <c r="ACE74" s="65"/>
      <c r="ACF74" s="37"/>
      <c r="ACG74" s="138"/>
      <c r="ACH74" s="37"/>
      <c r="ACI74" s="37"/>
      <c r="ACJ74" s="37"/>
      <c r="ACK74" s="37"/>
      <c r="ACL74" s="37"/>
      <c r="ACM74" s="75"/>
      <c r="ACN74" s="37"/>
      <c r="ACO74" s="37"/>
      <c r="ACP74" s="37"/>
      <c r="ACQ74" s="37"/>
      <c r="ACR74" s="37"/>
      <c r="ACS74" s="138"/>
      <c r="ACT74" s="37"/>
      <c r="ACU74" s="37"/>
      <c r="ACV74" s="37"/>
      <c r="ACW74" s="37"/>
      <c r="ACX74" s="37"/>
      <c r="ACY74" s="75"/>
      <c r="ACZ74" s="37"/>
      <c r="ADA74" s="37"/>
      <c r="ADB74" s="37"/>
      <c r="ADC74" s="37"/>
      <c r="ADD74" s="37"/>
      <c r="ADE74" s="38"/>
      <c r="ADF74" s="36"/>
      <c r="ADG74" s="65"/>
      <c r="ADH74" s="65"/>
      <c r="ADI74" s="65"/>
      <c r="ADJ74" s="37"/>
      <c r="ADK74" s="133"/>
      <c r="ADL74" s="37"/>
      <c r="ADM74" s="37"/>
      <c r="ADN74" s="37"/>
      <c r="ADO74" s="37"/>
      <c r="ADP74" s="37"/>
      <c r="ADQ74" s="138"/>
      <c r="ADR74" s="37"/>
      <c r="ADS74" s="37"/>
      <c r="ADT74" s="37"/>
      <c r="ADU74" s="37"/>
      <c r="ADV74" s="37"/>
      <c r="ADW74" s="75"/>
      <c r="ADX74" s="37"/>
      <c r="ADY74" s="37"/>
      <c r="ADZ74" s="37"/>
      <c r="AEA74" s="37"/>
      <c r="AEB74" s="37"/>
      <c r="AEC74" s="138"/>
      <c r="AED74" s="37"/>
      <c r="AEE74" s="37"/>
      <c r="AEF74" s="37"/>
      <c r="AEG74" s="37"/>
      <c r="AEH74" s="37"/>
      <c r="AEI74" s="75"/>
      <c r="AEJ74" s="65"/>
      <c r="AEK74" s="65"/>
      <c r="AEL74" s="65"/>
      <c r="AEM74" s="65"/>
      <c r="AEN74" s="37"/>
      <c r="AEO74" s="138"/>
      <c r="AEP74" s="37"/>
      <c r="AEQ74" s="37"/>
      <c r="AER74" s="37"/>
      <c r="AES74" s="37"/>
      <c r="AET74" s="37"/>
      <c r="AEU74" s="75"/>
      <c r="AEV74" s="37"/>
      <c r="AEW74" s="37"/>
      <c r="AEX74" s="37"/>
      <c r="AEY74" s="37"/>
      <c r="AEZ74" s="37"/>
      <c r="AFA74" s="138"/>
      <c r="AFB74" s="37"/>
      <c r="AFC74" s="37"/>
      <c r="AFD74" s="37"/>
      <c r="AFE74" s="37"/>
      <c r="AFF74" s="37"/>
      <c r="AFG74" s="75"/>
      <c r="AFH74" s="37"/>
      <c r="AFI74" s="37"/>
      <c r="AFJ74" s="37"/>
      <c r="AFK74" s="37"/>
      <c r="AFL74" s="37"/>
      <c r="AFM74" s="38"/>
      <c r="AFN74" s="90"/>
    </row>
    <row r="75" spans="1:846" ht="20.100000000000001" customHeight="1" x14ac:dyDescent="0.25">
      <c r="A75" s="100" t="s">
        <v>20</v>
      </c>
      <c r="B75" s="63"/>
      <c r="C75" s="218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32"/>
      <c r="RS75" s="64"/>
      <c r="RT75" s="64"/>
      <c r="RU75" s="64"/>
      <c r="RV75" s="33"/>
      <c r="RW75" s="132"/>
      <c r="RX75" s="33"/>
      <c r="RY75" s="33"/>
      <c r="RZ75" s="33"/>
      <c r="SA75" s="33"/>
      <c r="SB75" s="33"/>
      <c r="SC75" s="137"/>
      <c r="SD75" s="33"/>
      <c r="SE75" s="33"/>
      <c r="SF75" s="33"/>
      <c r="SG75" s="33"/>
      <c r="SH75" s="33"/>
      <c r="SI75" s="74"/>
      <c r="SJ75" s="33"/>
      <c r="SK75" s="33"/>
      <c r="SL75" s="33"/>
      <c r="SM75" s="33"/>
      <c r="SN75" s="33"/>
      <c r="SO75" s="137"/>
      <c r="SP75" s="33"/>
      <c r="SQ75" s="33"/>
      <c r="SR75" s="33"/>
      <c r="SS75" s="33"/>
      <c r="ST75" s="33"/>
      <c r="SU75" s="74"/>
      <c r="SV75" s="64"/>
      <c r="SW75" s="64"/>
      <c r="SX75" s="64"/>
      <c r="SY75" s="64"/>
      <c r="SZ75" s="33"/>
      <c r="TA75" s="137"/>
      <c r="TB75" s="33"/>
      <c r="TC75" s="33"/>
      <c r="TD75" s="33"/>
      <c r="TE75" s="33"/>
      <c r="TF75" s="33"/>
      <c r="TG75" s="74"/>
      <c r="TH75" s="33"/>
      <c r="TI75" s="33"/>
      <c r="TJ75" s="33"/>
      <c r="TK75" s="33"/>
      <c r="TL75" s="33"/>
      <c r="TM75" s="137"/>
      <c r="TN75" s="33"/>
      <c r="TO75" s="33"/>
      <c r="TP75" s="33"/>
      <c r="TQ75" s="33"/>
      <c r="TR75" s="33"/>
      <c r="TS75" s="74"/>
      <c r="TT75" s="33"/>
      <c r="TU75" s="33"/>
      <c r="TV75" s="33"/>
      <c r="TW75" s="33"/>
      <c r="TX75" s="33"/>
      <c r="TY75" s="34"/>
      <c r="TZ75" s="32"/>
      <c r="UA75" s="64"/>
      <c r="UB75" s="64"/>
      <c r="UC75" s="64"/>
      <c r="UD75" s="33"/>
      <c r="UE75" s="132"/>
      <c r="UF75" s="33"/>
      <c r="UG75" s="33"/>
      <c r="UH75" s="33"/>
      <c r="UI75" s="33"/>
      <c r="UJ75" s="33"/>
      <c r="UK75" s="137"/>
      <c r="UL75" s="33"/>
      <c r="UM75" s="33"/>
      <c r="UN75" s="33"/>
      <c r="UO75" s="33"/>
      <c r="UP75" s="33"/>
      <c r="UQ75" s="74"/>
      <c r="UR75" s="33"/>
      <c r="US75" s="33"/>
      <c r="UT75" s="33"/>
      <c r="UU75" s="33"/>
      <c r="UV75" s="33"/>
      <c r="UW75" s="137"/>
      <c r="UX75" s="33"/>
      <c r="UY75" s="33"/>
      <c r="UZ75" s="33"/>
      <c r="VA75" s="33"/>
      <c r="VB75" s="33"/>
      <c r="VC75" s="74"/>
      <c r="VD75" s="64"/>
      <c r="VE75" s="64"/>
      <c r="VF75" s="64"/>
      <c r="VG75" s="64"/>
      <c r="VH75" s="33"/>
      <c r="VI75" s="137"/>
      <c r="VJ75" s="33"/>
      <c r="VK75" s="33"/>
      <c r="VL75" s="33"/>
      <c r="VM75" s="33"/>
      <c r="VN75" s="33"/>
      <c r="VO75" s="74"/>
      <c r="VP75" s="33"/>
      <c r="VQ75" s="33"/>
      <c r="VR75" s="33"/>
      <c r="VS75" s="33"/>
      <c r="VT75" s="33"/>
      <c r="VU75" s="137"/>
      <c r="VV75" s="33"/>
      <c r="VW75" s="33"/>
      <c r="VX75" s="33"/>
      <c r="VY75" s="33"/>
      <c r="VZ75" s="33"/>
      <c r="WA75" s="74"/>
      <c r="WB75" s="33"/>
      <c r="WC75" s="33"/>
      <c r="WD75" s="33"/>
      <c r="WE75" s="33"/>
      <c r="WF75" s="33"/>
      <c r="WG75" s="34"/>
      <c r="WH75" s="32"/>
      <c r="WI75" s="64"/>
      <c r="WJ75" s="64"/>
      <c r="WK75" s="64"/>
      <c r="WL75" s="33"/>
      <c r="WM75" s="132"/>
      <c r="WN75" s="33"/>
      <c r="WO75" s="33"/>
      <c r="WP75" s="33"/>
      <c r="WQ75" s="33"/>
      <c r="WR75" s="33"/>
      <c r="WS75" s="137"/>
      <c r="WT75" s="33"/>
      <c r="WU75" s="33"/>
      <c r="WV75" s="33"/>
      <c r="WW75" s="33"/>
      <c r="WX75" s="33"/>
      <c r="WY75" s="74"/>
      <c r="WZ75" s="33"/>
      <c r="XA75" s="33"/>
      <c r="XB75" s="33"/>
      <c r="XC75" s="33"/>
      <c r="XD75" s="33"/>
      <c r="XE75" s="137"/>
      <c r="XF75" s="33"/>
      <c r="XG75" s="33"/>
      <c r="XH75" s="33"/>
      <c r="XI75" s="33"/>
      <c r="XJ75" s="33"/>
      <c r="XK75" s="74"/>
      <c r="XL75" s="64"/>
      <c r="XM75" s="64"/>
      <c r="XN75" s="64"/>
      <c r="XO75" s="64"/>
      <c r="XP75" s="33"/>
      <c r="XQ75" s="137"/>
      <c r="XR75" s="33"/>
      <c r="XS75" s="33"/>
      <c r="XT75" s="33"/>
      <c r="XU75" s="33"/>
      <c r="XV75" s="33"/>
      <c r="XW75" s="74"/>
      <c r="XX75" s="33"/>
      <c r="XY75" s="33"/>
      <c r="XZ75" s="33"/>
      <c r="YA75" s="33"/>
      <c r="YB75" s="33"/>
      <c r="YC75" s="137"/>
      <c r="YD75" s="33"/>
      <c r="YE75" s="33"/>
      <c r="YF75" s="33"/>
      <c r="YG75" s="33"/>
      <c r="YH75" s="33"/>
      <c r="YI75" s="74"/>
      <c r="YJ75" s="33"/>
      <c r="YK75" s="33"/>
      <c r="YL75" s="33"/>
      <c r="YM75" s="33"/>
      <c r="YN75" s="33"/>
      <c r="YO75" s="34"/>
      <c r="YP75" s="32"/>
      <c r="YQ75" s="64"/>
      <c r="YR75" s="64"/>
      <c r="YS75" s="64"/>
      <c r="YT75" s="33"/>
      <c r="YU75" s="132"/>
      <c r="YV75" s="33"/>
      <c r="YW75" s="33"/>
      <c r="YX75" s="33"/>
      <c r="YY75" s="33"/>
      <c r="YZ75" s="33"/>
      <c r="ZA75" s="137"/>
      <c r="ZB75" s="33"/>
      <c r="ZC75" s="33"/>
      <c r="ZD75" s="33"/>
      <c r="ZE75" s="33"/>
      <c r="ZF75" s="33"/>
      <c r="ZG75" s="74"/>
      <c r="ZH75" s="33"/>
      <c r="ZI75" s="33"/>
      <c r="ZJ75" s="33"/>
      <c r="ZK75" s="33"/>
      <c r="ZL75" s="33"/>
      <c r="ZM75" s="137"/>
      <c r="ZN75" s="33"/>
      <c r="ZO75" s="33"/>
      <c r="ZP75" s="33"/>
      <c r="ZQ75" s="33"/>
      <c r="ZR75" s="33"/>
      <c r="ZS75" s="74"/>
      <c r="ZT75" s="64"/>
      <c r="ZU75" s="64"/>
      <c r="ZV75" s="64"/>
      <c r="ZW75" s="64"/>
      <c r="ZX75" s="33"/>
      <c r="ZY75" s="137"/>
      <c r="ZZ75" s="33"/>
      <c r="AAA75" s="33"/>
      <c r="AAB75" s="33"/>
      <c r="AAC75" s="33"/>
      <c r="AAD75" s="33"/>
      <c r="AAE75" s="74"/>
      <c r="AAF75" s="33"/>
      <c r="AAG75" s="33"/>
      <c r="AAH75" s="33"/>
      <c r="AAI75" s="33"/>
      <c r="AAJ75" s="33"/>
      <c r="AAK75" s="137"/>
      <c r="AAL75" s="33"/>
      <c r="AAM75" s="33"/>
      <c r="AAN75" s="33"/>
      <c r="AAO75" s="33"/>
      <c r="AAP75" s="33"/>
      <c r="AAQ75" s="74"/>
      <c r="AAR75" s="33"/>
      <c r="AAS75" s="33"/>
      <c r="AAT75" s="33"/>
      <c r="AAU75" s="33"/>
      <c r="AAV75" s="33"/>
      <c r="AAW75" s="34"/>
      <c r="AAX75" s="32"/>
      <c r="AAY75" s="64"/>
      <c r="AAZ75" s="64"/>
      <c r="ABA75" s="64"/>
      <c r="ABB75" s="33"/>
      <c r="ABC75" s="132"/>
      <c r="ABD75" s="33"/>
      <c r="ABE75" s="33"/>
      <c r="ABF75" s="33"/>
      <c r="ABG75" s="33"/>
      <c r="ABH75" s="33"/>
      <c r="ABI75" s="137"/>
      <c r="ABJ75" s="33"/>
      <c r="ABK75" s="33"/>
      <c r="ABL75" s="33"/>
      <c r="ABM75" s="33"/>
      <c r="ABN75" s="33"/>
      <c r="ABO75" s="74"/>
      <c r="ABP75" s="33"/>
      <c r="ABQ75" s="33"/>
      <c r="ABR75" s="33"/>
      <c r="ABS75" s="33"/>
      <c r="ABT75" s="33"/>
      <c r="ABU75" s="137"/>
      <c r="ABV75" s="33"/>
      <c r="ABW75" s="33"/>
      <c r="ABX75" s="33"/>
      <c r="ABY75" s="33"/>
      <c r="ABZ75" s="33"/>
      <c r="ACA75" s="74"/>
      <c r="ACB75" s="64"/>
      <c r="ACC75" s="64"/>
      <c r="ACD75" s="64"/>
      <c r="ACE75" s="64"/>
      <c r="ACF75" s="33"/>
      <c r="ACG75" s="137"/>
      <c r="ACH75" s="33"/>
      <c r="ACI75" s="33"/>
      <c r="ACJ75" s="33"/>
      <c r="ACK75" s="33"/>
      <c r="ACL75" s="33"/>
      <c r="ACM75" s="74"/>
      <c r="ACN75" s="33"/>
      <c r="ACO75" s="33"/>
      <c r="ACP75" s="33"/>
      <c r="ACQ75" s="33"/>
      <c r="ACR75" s="33"/>
      <c r="ACS75" s="137"/>
      <c r="ACT75" s="33"/>
      <c r="ACU75" s="33"/>
      <c r="ACV75" s="33"/>
      <c r="ACW75" s="33"/>
      <c r="ACX75" s="33"/>
      <c r="ACY75" s="74"/>
      <c r="ACZ75" s="33"/>
      <c r="ADA75" s="33"/>
      <c r="ADB75" s="33"/>
      <c r="ADC75" s="33"/>
      <c r="ADD75" s="33"/>
      <c r="ADE75" s="34"/>
      <c r="ADF75" s="32"/>
      <c r="ADG75" s="64"/>
      <c r="ADH75" s="64"/>
      <c r="ADI75" s="64"/>
      <c r="ADJ75" s="33"/>
      <c r="ADK75" s="132"/>
      <c r="ADL75" s="33"/>
      <c r="ADM75" s="33"/>
      <c r="ADN75" s="33"/>
      <c r="ADO75" s="33"/>
      <c r="ADP75" s="33"/>
      <c r="ADQ75" s="137"/>
      <c r="ADR75" s="33"/>
      <c r="ADS75" s="33"/>
      <c r="ADT75" s="33"/>
      <c r="ADU75" s="33"/>
      <c r="ADV75" s="33"/>
      <c r="ADW75" s="74"/>
      <c r="ADX75" s="33"/>
      <c r="ADY75" s="33"/>
      <c r="ADZ75" s="33"/>
      <c r="AEA75" s="33"/>
      <c r="AEB75" s="33"/>
      <c r="AEC75" s="137"/>
      <c r="AED75" s="33"/>
      <c r="AEE75" s="33"/>
      <c r="AEF75" s="33"/>
      <c r="AEG75" s="33"/>
      <c r="AEH75" s="33"/>
      <c r="AEI75" s="74"/>
      <c r="AEJ75" s="64"/>
      <c r="AEK75" s="64"/>
      <c r="AEL75" s="64"/>
      <c r="AEM75" s="64"/>
      <c r="AEN75" s="33"/>
      <c r="AEO75" s="137"/>
      <c r="AEP75" s="33"/>
      <c r="AEQ75" s="33"/>
      <c r="AER75" s="33"/>
      <c r="AES75" s="33"/>
      <c r="AET75" s="33"/>
      <c r="AEU75" s="74"/>
      <c r="AEV75" s="33"/>
      <c r="AEW75" s="33"/>
      <c r="AEX75" s="33"/>
      <c r="AEY75" s="33"/>
      <c r="AEZ75" s="33"/>
      <c r="AFA75" s="137"/>
      <c r="AFB75" s="33"/>
      <c r="AFC75" s="33"/>
      <c r="AFD75" s="33"/>
      <c r="AFE75" s="33"/>
      <c r="AFF75" s="33"/>
      <c r="AFG75" s="74"/>
      <c r="AFH75" s="33"/>
      <c r="AFI75" s="33"/>
      <c r="AFJ75" s="33"/>
      <c r="AFK75" s="33"/>
      <c r="AFL75" s="33"/>
      <c r="AFM75" s="34"/>
      <c r="AFN75" s="90"/>
    </row>
    <row r="76" spans="1:846" ht="20.100000000000001" customHeight="1" x14ac:dyDescent="0.3">
      <c r="A76" s="100" t="s">
        <v>21</v>
      </c>
      <c r="B76" s="63"/>
      <c r="C76" s="219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36"/>
      <c r="RS76" s="65"/>
      <c r="RT76" s="65"/>
      <c r="RU76" s="65"/>
      <c r="RV76" s="37"/>
      <c r="RW76" s="133"/>
      <c r="RX76" s="37"/>
      <c r="RY76" s="37"/>
      <c r="RZ76" s="37"/>
      <c r="SA76" s="37"/>
      <c r="SB76" s="37"/>
      <c r="SC76" s="138"/>
      <c r="SD76" s="37"/>
      <c r="SE76" s="37"/>
      <c r="SF76" s="37"/>
      <c r="SG76" s="37"/>
      <c r="SH76" s="37"/>
      <c r="SI76" s="75"/>
      <c r="SJ76" s="37"/>
      <c r="SK76" s="37"/>
      <c r="SL76" s="37"/>
      <c r="SM76" s="37"/>
      <c r="SN76" s="37"/>
      <c r="SO76" s="138"/>
      <c r="SP76" s="37"/>
      <c r="SQ76" s="37"/>
      <c r="SR76" s="37"/>
      <c r="SS76" s="37"/>
      <c r="ST76" s="37"/>
      <c r="SU76" s="75"/>
      <c r="SV76" s="65"/>
      <c r="SW76" s="65"/>
      <c r="SX76" s="65"/>
      <c r="SY76" s="65"/>
      <c r="SZ76" s="37"/>
      <c r="TA76" s="138"/>
      <c r="TB76" s="37"/>
      <c r="TC76" s="37"/>
      <c r="TD76" s="37"/>
      <c r="TE76" s="37"/>
      <c r="TF76" s="37"/>
      <c r="TG76" s="75"/>
      <c r="TH76" s="37"/>
      <c r="TI76" s="37"/>
      <c r="TJ76" s="37"/>
      <c r="TK76" s="37"/>
      <c r="TL76" s="37"/>
      <c r="TM76" s="138"/>
      <c r="TN76" s="37"/>
      <c r="TO76" s="37"/>
      <c r="TP76" s="37"/>
      <c r="TQ76" s="37"/>
      <c r="TR76" s="37"/>
      <c r="TS76" s="75"/>
      <c r="TT76" s="37"/>
      <c r="TU76" s="37"/>
      <c r="TV76" s="37"/>
      <c r="TW76" s="37"/>
      <c r="TX76" s="37"/>
      <c r="TY76" s="38"/>
      <c r="TZ76" s="36"/>
      <c r="UA76" s="65"/>
      <c r="UB76" s="65"/>
      <c r="UC76" s="65"/>
      <c r="UD76" s="37"/>
      <c r="UE76" s="133"/>
      <c r="UF76" s="37"/>
      <c r="UG76" s="37"/>
      <c r="UH76" s="37"/>
      <c r="UI76" s="37"/>
      <c r="UJ76" s="37"/>
      <c r="UK76" s="138"/>
      <c r="UL76" s="37"/>
      <c r="UM76" s="37"/>
      <c r="UN76" s="37"/>
      <c r="UO76" s="37"/>
      <c r="UP76" s="37"/>
      <c r="UQ76" s="75"/>
      <c r="UR76" s="37"/>
      <c r="US76" s="37"/>
      <c r="UT76" s="37"/>
      <c r="UU76" s="37"/>
      <c r="UV76" s="37"/>
      <c r="UW76" s="138"/>
      <c r="UX76" s="37"/>
      <c r="UY76" s="37"/>
      <c r="UZ76" s="37"/>
      <c r="VA76" s="37"/>
      <c r="VB76" s="37"/>
      <c r="VC76" s="75"/>
      <c r="VD76" s="65"/>
      <c r="VE76" s="65"/>
      <c r="VF76" s="65"/>
      <c r="VG76" s="65"/>
      <c r="VH76" s="37"/>
      <c r="VI76" s="138"/>
      <c r="VJ76" s="37"/>
      <c r="VK76" s="37"/>
      <c r="VL76" s="37"/>
      <c r="VM76" s="37"/>
      <c r="VN76" s="37"/>
      <c r="VO76" s="75"/>
      <c r="VP76" s="37"/>
      <c r="VQ76" s="37"/>
      <c r="VR76" s="37"/>
      <c r="VS76" s="37"/>
      <c r="VT76" s="37"/>
      <c r="VU76" s="138"/>
      <c r="VV76" s="37"/>
      <c r="VW76" s="37"/>
      <c r="VX76" s="37"/>
      <c r="VY76" s="37"/>
      <c r="VZ76" s="37"/>
      <c r="WA76" s="75"/>
      <c r="WB76" s="37"/>
      <c r="WC76" s="37"/>
      <c r="WD76" s="37"/>
      <c r="WE76" s="37"/>
      <c r="WF76" s="37"/>
      <c r="WG76" s="38"/>
      <c r="WH76" s="36"/>
      <c r="WI76" s="65"/>
      <c r="WJ76" s="65"/>
      <c r="WK76" s="65"/>
      <c r="WL76" s="37"/>
      <c r="WM76" s="133"/>
      <c r="WN76" s="37"/>
      <c r="WO76" s="37"/>
      <c r="WP76" s="37"/>
      <c r="WQ76" s="37"/>
      <c r="WR76" s="37"/>
      <c r="WS76" s="138"/>
      <c r="WT76" s="37"/>
      <c r="WU76" s="37"/>
      <c r="WV76" s="37"/>
      <c r="WW76" s="37"/>
      <c r="WX76" s="37"/>
      <c r="WY76" s="75"/>
      <c r="WZ76" s="37"/>
      <c r="XA76" s="37"/>
      <c r="XB76" s="37"/>
      <c r="XC76" s="37"/>
      <c r="XD76" s="37"/>
      <c r="XE76" s="138"/>
      <c r="XF76" s="37"/>
      <c r="XG76" s="37"/>
      <c r="XH76" s="37"/>
      <c r="XI76" s="37"/>
      <c r="XJ76" s="37"/>
      <c r="XK76" s="75"/>
      <c r="XL76" s="65"/>
      <c r="XM76" s="65"/>
      <c r="XN76" s="65"/>
      <c r="XO76" s="65"/>
      <c r="XP76" s="37"/>
      <c r="XQ76" s="138"/>
      <c r="XR76" s="37"/>
      <c r="XS76" s="37"/>
      <c r="XT76" s="37"/>
      <c r="XU76" s="37"/>
      <c r="XV76" s="37"/>
      <c r="XW76" s="75"/>
      <c r="XX76" s="37"/>
      <c r="XY76" s="37"/>
      <c r="XZ76" s="37"/>
      <c r="YA76" s="37"/>
      <c r="YB76" s="37"/>
      <c r="YC76" s="138"/>
      <c r="YD76" s="37"/>
      <c r="YE76" s="37"/>
      <c r="YF76" s="37"/>
      <c r="YG76" s="37"/>
      <c r="YH76" s="37"/>
      <c r="YI76" s="75"/>
      <c r="YJ76" s="37"/>
      <c r="YK76" s="37"/>
      <c r="YL76" s="37"/>
      <c r="YM76" s="37"/>
      <c r="YN76" s="37"/>
      <c r="YO76" s="38"/>
      <c r="YP76" s="36"/>
      <c r="YQ76" s="65"/>
      <c r="YR76" s="65"/>
      <c r="YS76" s="65"/>
      <c r="YT76" s="37"/>
      <c r="YU76" s="133"/>
      <c r="YV76" s="37"/>
      <c r="YW76" s="37"/>
      <c r="YX76" s="37"/>
      <c r="YY76" s="37"/>
      <c r="YZ76" s="37"/>
      <c r="ZA76" s="138"/>
      <c r="ZB76" s="37"/>
      <c r="ZC76" s="37"/>
      <c r="ZD76" s="37"/>
      <c r="ZE76" s="37"/>
      <c r="ZF76" s="37"/>
      <c r="ZG76" s="75"/>
      <c r="ZH76" s="37"/>
      <c r="ZI76" s="37"/>
      <c r="ZJ76" s="37"/>
      <c r="ZK76" s="37"/>
      <c r="ZL76" s="37"/>
      <c r="ZM76" s="138"/>
      <c r="ZN76" s="37"/>
      <c r="ZO76" s="37"/>
      <c r="ZP76" s="37"/>
      <c r="ZQ76" s="37"/>
      <c r="ZR76" s="37"/>
      <c r="ZS76" s="75"/>
      <c r="ZT76" s="65"/>
      <c r="ZU76" s="65"/>
      <c r="ZV76" s="65"/>
      <c r="ZW76" s="65"/>
      <c r="ZX76" s="37"/>
      <c r="ZY76" s="138"/>
      <c r="ZZ76" s="37"/>
      <c r="AAA76" s="37"/>
      <c r="AAB76" s="37"/>
      <c r="AAC76" s="37"/>
      <c r="AAD76" s="37"/>
      <c r="AAE76" s="75"/>
      <c r="AAF76" s="37"/>
      <c r="AAG76" s="37"/>
      <c r="AAH76" s="37"/>
      <c r="AAI76" s="37"/>
      <c r="AAJ76" s="37"/>
      <c r="AAK76" s="138"/>
      <c r="AAL76" s="37"/>
      <c r="AAM76" s="37"/>
      <c r="AAN76" s="37"/>
      <c r="AAO76" s="37"/>
      <c r="AAP76" s="37"/>
      <c r="AAQ76" s="75"/>
      <c r="AAR76" s="37"/>
      <c r="AAS76" s="37"/>
      <c r="AAT76" s="37"/>
      <c r="AAU76" s="37"/>
      <c r="AAV76" s="37"/>
      <c r="AAW76" s="38"/>
      <c r="AAX76" s="36"/>
      <c r="AAY76" s="65"/>
      <c r="AAZ76" s="65"/>
      <c r="ABA76" s="65"/>
      <c r="ABB76" s="37"/>
      <c r="ABC76" s="133"/>
      <c r="ABD76" s="37"/>
      <c r="ABE76" s="37"/>
      <c r="ABF76" s="37"/>
      <c r="ABG76" s="37"/>
      <c r="ABH76" s="37"/>
      <c r="ABI76" s="138"/>
      <c r="ABJ76" s="37"/>
      <c r="ABK76" s="37"/>
      <c r="ABL76" s="37"/>
      <c r="ABM76" s="37"/>
      <c r="ABN76" s="37"/>
      <c r="ABO76" s="75"/>
      <c r="ABP76" s="37"/>
      <c r="ABQ76" s="37"/>
      <c r="ABR76" s="37"/>
      <c r="ABS76" s="37"/>
      <c r="ABT76" s="37"/>
      <c r="ABU76" s="138"/>
      <c r="ABV76" s="37"/>
      <c r="ABW76" s="37"/>
      <c r="ABX76" s="37"/>
      <c r="ABY76" s="37"/>
      <c r="ABZ76" s="37"/>
      <c r="ACA76" s="75"/>
      <c r="ACB76" s="65"/>
      <c r="ACC76" s="65"/>
      <c r="ACD76" s="65"/>
      <c r="ACE76" s="65"/>
      <c r="ACF76" s="37"/>
      <c r="ACG76" s="138"/>
      <c r="ACH76" s="37"/>
      <c r="ACI76" s="37"/>
      <c r="ACJ76" s="37"/>
      <c r="ACK76" s="37"/>
      <c r="ACL76" s="37"/>
      <c r="ACM76" s="75"/>
      <c r="ACN76" s="37"/>
      <c r="ACO76" s="37"/>
      <c r="ACP76" s="37"/>
      <c r="ACQ76" s="37"/>
      <c r="ACR76" s="37"/>
      <c r="ACS76" s="138"/>
      <c r="ACT76" s="37"/>
      <c r="ACU76" s="37"/>
      <c r="ACV76" s="37"/>
      <c r="ACW76" s="37"/>
      <c r="ACX76" s="37"/>
      <c r="ACY76" s="75"/>
      <c r="ACZ76" s="37"/>
      <c r="ADA76" s="37"/>
      <c r="ADB76" s="37"/>
      <c r="ADC76" s="37"/>
      <c r="ADD76" s="37"/>
      <c r="ADE76" s="38"/>
      <c r="ADF76" s="36"/>
      <c r="ADG76" s="65"/>
      <c r="ADH76" s="65"/>
      <c r="ADI76" s="65"/>
      <c r="ADJ76" s="37"/>
      <c r="ADK76" s="133"/>
      <c r="ADL76" s="37"/>
      <c r="ADM76" s="37"/>
      <c r="ADN76" s="37"/>
      <c r="ADO76" s="37"/>
      <c r="ADP76" s="37"/>
      <c r="ADQ76" s="138"/>
      <c r="ADR76" s="37"/>
      <c r="ADS76" s="37"/>
      <c r="ADT76" s="37"/>
      <c r="ADU76" s="37"/>
      <c r="ADV76" s="37"/>
      <c r="ADW76" s="75"/>
      <c r="ADX76" s="37"/>
      <c r="ADY76" s="37"/>
      <c r="ADZ76" s="37"/>
      <c r="AEA76" s="37"/>
      <c r="AEB76" s="37"/>
      <c r="AEC76" s="138"/>
      <c r="AED76" s="37"/>
      <c r="AEE76" s="37"/>
      <c r="AEF76" s="37"/>
      <c r="AEG76" s="37"/>
      <c r="AEH76" s="37"/>
      <c r="AEI76" s="75"/>
      <c r="AEJ76" s="65"/>
      <c r="AEK76" s="65"/>
      <c r="AEL76" s="65"/>
      <c r="AEM76" s="65"/>
      <c r="AEN76" s="37"/>
      <c r="AEO76" s="138"/>
      <c r="AEP76" s="37"/>
      <c r="AEQ76" s="37"/>
      <c r="AER76" s="37"/>
      <c r="AES76" s="37"/>
      <c r="AET76" s="37"/>
      <c r="AEU76" s="75"/>
      <c r="AEV76" s="37"/>
      <c r="AEW76" s="37"/>
      <c r="AEX76" s="37"/>
      <c r="AEY76" s="37"/>
      <c r="AEZ76" s="37"/>
      <c r="AFA76" s="138"/>
      <c r="AFB76" s="37"/>
      <c r="AFC76" s="37"/>
      <c r="AFD76" s="37"/>
      <c r="AFE76" s="37"/>
      <c r="AFF76" s="37"/>
      <c r="AFG76" s="75"/>
      <c r="AFH76" s="37"/>
      <c r="AFI76" s="37"/>
      <c r="AFJ76" s="37"/>
      <c r="AFK76" s="37"/>
      <c r="AFL76" s="37"/>
      <c r="AFM76" s="38"/>
      <c r="AFN76" s="90"/>
    </row>
    <row r="77" spans="1:846" ht="20.100000000000001" customHeight="1" x14ac:dyDescent="0.25">
      <c r="A77" s="100" t="s">
        <v>20</v>
      </c>
      <c r="B77" s="63"/>
      <c r="C77" s="218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40"/>
      <c r="RS77" s="66"/>
      <c r="RT77" s="66"/>
      <c r="RU77" s="66"/>
      <c r="RV77" s="41"/>
      <c r="RW77" s="134"/>
      <c r="RX77" s="41"/>
      <c r="RY77" s="41"/>
      <c r="RZ77" s="41"/>
      <c r="SA77" s="41"/>
      <c r="SB77" s="41"/>
      <c r="SC77" s="139"/>
      <c r="SD77" s="41"/>
      <c r="SE77" s="41"/>
      <c r="SF77" s="41"/>
      <c r="SG77" s="41"/>
      <c r="SH77" s="41"/>
      <c r="SI77" s="76"/>
      <c r="SJ77" s="41"/>
      <c r="SK77" s="41"/>
      <c r="SL77" s="41"/>
      <c r="SM77" s="41"/>
      <c r="SN77" s="41"/>
      <c r="SO77" s="139"/>
      <c r="SP77" s="41"/>
      <c r="SQ77" s="41"/>
      <c r="SR77" s="41"/>
      <c r="SS77" s="41"/>
      <c r="ST77" s="41"/>
      <c r="SU77" s="76"/>
      <c r="SV77" s="66"/>
      <c r="SW77" s="66"/>
      <c r="SX77" s="66"/>
      <c r="SY77" s="66"/>
      <c r="SZ77" s="41"/>
      <c r="TA77" s="139"/>
      <c r="TB77" s="41"/>
      <c r="TC77" s="41"/>
      <c r="TD77" s="41"/>
      <c r="TE77" s="41"/>
      <c r="TF77" s="41"/>
      <c r="TG77" s="76"/>
      <c r="TH77" s="41"/>
      <c r="TI77" s="41"/>
      <c r="TJ77" s="41"/>
      <c r="TK77" s="41"/>
      <c r="TL77" s="41"/>
      <c r="TM77" s="139"/>
      <c r="TN77" s="41"/>
      <c r="TO77" s="41"/>
      <c r="TP77" s="41"/>
      <c r="TQ77" s="41"/>
      <c r="TR77" s="41"/>
      <c r="TS77" s="76"/>
      <c r="TT77" s="41"/>
      <c r="TU77" s="41"/>
      <c r="TV77" s="41"/>
      <c r="TW77" s="41"/>
      <c r="TX77" s="41"/>
      <c r="TY77" s="42"/>
      <c r="TZ77" s="40"/>
      <c r="UA77" s="66"/>
      <c r="UB77" s="66"/>
      <c r="UC77" s="66"/>
      <c r="UD77" s="41"/>
      <c r="UE77" s="134"/>
      <c r="UF77" s="41"/>
      <c r="UG77" s="41"/>
      <c r="UH77" s="41"/>
      <c r="UI77" s="41"/>
      <c r="UJ77" s="41"/>
      <c r="UK77" s="139"/>
      <c r="UL77" s="41"/>
      <c r="UM77" s="41"/>
      <c r="UN77" s="41"/>
      <c r="UO77" s="41"/>
      <c r="UP77" s="41"/>
      <c r="UQ77" s="76"/>
      <c r="UR77" s="41"/>
      <c r="US77" s="41"/>
      <c r="UT77" s="41"/>
      <c r="UU77" s="41"/>
      <c r="UV77" s="41"/>
      <c r="UW77" s="139"/>
      <c r="UX77" s="41"/>
      <c r="UY77" s="41"/>
      <c r="UZ77" s="41"/>
      <c r="VA77" s="41"/>
      <c r="VB77" s="41"/>
      <c r="VC77" s="76"/>
      <c r="VD77" s="66"/>
      <c r="VE77" s="66"/>
      <c r="VF77" s="66"/>
      <c r="VG77" s="66"/>
      <c r="VH77" s="41"/>
      <c r="VI77" s="139"/>
      <c r="VJ77" s="41"/>
      <c r="VK77" s="41"/>
      <c r="VL77" s="41"/>
      <c r="VM77" s="41"/>
      <c r="VN77" s="41"/>
      <c r="VO77" s="76"/>
      <c r="VP77" s="41"/>
      <c r="VQ77" s="41"/>
      <c r="VR77" s="41"/>
      <c r="VS77" s="41"/>
      <c r="VT77" s="41"/>
      <c r="VU77" s="139"/>
      <c r="VV77" s="41"/>
      <c r="VW77" s="41"/>
      <c r="VX77" s="41"/>
      <c r="VY77" s="41"/>
      <c r="VZ77" s="41"/>
      <c r="WA77" s="76"/>
      <c r="WB77" s="41"/>
      <c r="WC77" s="41"/>
      <c r="WD77" s="41"/>
      <c r="WE77" s="41"/>
      <c r="WF77" s="41"/>
      <c r="WG77" s="42"/>
      <c r="WH77" s="40"/>
      <c r="WI77" s="66"/>
      <c r="WJ77" s="66"/>
      <c r="WK77" s="66"/>
      <c r="WL77" s="41"/>
      <c r="WM77" s="134"/>
      <c r="WN77" s="41"/>
      <c r="WO77" s="41"/>
      <c r="WP77" s="41"/>
      <c r="WQ77" s="41"/>
      <c r="WR77" s="41"/>
      <c r="WS77" s="139"/>
      <c r="WT77" s="41"/>
      <c r="WU77" s="41"/>
      <c r="WV77" s="41"/>
      <c r="WW77" s="41"/>
      <c r="WX77" s="41"/>
      <c r="WY77" s="76"/>
      <c r="WZ77" s="41"/>
      <c r="XA77" s="41"/>
      <c r="XB77" s="41"/>
      <c r="XC77" s="41"/>
      <c r="XD77" s="41"/>
      <c r="XE77" s="139"/>
      <c r="XF77" s="41"/>
      <c r="XG77" s="41"/>
      <c r="XH77" s="41"/>
      <c r="XI77" s="41"/>
      <c r="XJ77" s="41"/>
      <c r="XK77" s="76"/>
      <c r="XL77" s="66"/>
      <c r="XM77" s="66"/>
      <c r="XN77" s="66"/>
      <c r="XO77" s="66"/>
      <c r="XP77" s="41"/>
      <c r="XQ77" s="139"/>
      <c r="XR77" s="41"/>
      <c r="XS77" s="41"/>
      <c r="XT77" s="41"/>
      <c r="XU77" s="41"/>
      <c r="XV77" s="41"/>
      <c r="XW77" s="76"/>
      <c r="XX77" s="41"/>
      <c r="XY77" s="41"/>
      <c r="XZ77" s="41"/>
      <c r="YA77" s="41"/>
      <c r="YB77" s="41"/>
      <c r="YC77" s="139"/>
      <c r="YD77" s="41"/>
      <c r="YE77" s="41"/>
      <c r="YF77" s="41"/>
      <c r="YG77" s="41"/>
      <c r="YH77" s="41"/>
      <c r="YI77" s="76"/>
      <c r="YJ77" s="41"/>
      <c r="YK77" s="41"/>
      <c r="YL77" s="41"/>
      <c r="YM77" s="41"/>
      <c r="YN77" s="41"/>
      <c r="YO77" s="42"/>
      <c r="YP77" s="40"/>
      <c r="YQ77" s="66"/>
      <c r="YR77" s="66"/>
      <c r="YS77" s="66"/>
      <c r="YT77" s="41"/>
      <c r="YU77" s="134"/>
      <c r="YV77" s="41"/>
      <c r="YW77" s="41"/>
      <c r="YX77" s="41"/>
      <c r="YY77" s="41"/>
      <c r="YZ77" s="41"/>
      <c r="ZA77" s="139"/>
      <c r="ZB77" s="41"/>
      <c r="ZC77" s="41"/>
      <c r="ZD77" s="41"/>
      <c r="ZE77" s="41"/>
      <c r="ZF77" s="41"/>
      <c r="ZG77" s="76"/>
      <c r="ZH77" s="41"/>
      <c r="ZI77" s="41"/>
      <c r="ZJ77" s="41"/>
      <c r="ZK77" s="41"/>
      <c r="ZL77" s="41"/>
      <c r="ZM77" s="139"/>
      <c r="ZN77" s="41"/>
      <c r="ZO77" s="41"/>
      <c r="ZP77" s="41"/>
      <c r="ZQ77" s="41"/>
      <c r="ZR77" s="41"/>
      <c r="ZS77" s="76"/>
      <c r="ZT77" s="66"/>
      <c r="ZU77" s="66"/>
      <c r="ZV77" s="66"/>
      <c r="ZW77" s="66"/>
      <c r="ZX77" s="41"/>
      <c r="ZY77" s="139"/>
      <c r="ZZ77" s="41"/>
      <c r="AAA77" s="41"/>
      <c r="AAB77" s="41"/>
      <c r="AAC77" s="41"/>
      <c r="AAD77" s="41"/>
      <c r="AAE77" s="76"/>
      <c r="AAF77" s="41"/>
      <c r="AAG77" s="41"/>
      <c r="AAH77" s="41"/>
      <c r="AAI77" s="41"/>
      <c r="AAJ77" s="41"/>
      <c r="AAK77" s="139"/>
      <c r="AAL77" s="41"/>
      <c r="AAM77" s="41"/>
      <c r="AAN77" s="41"/>
      <c r="AAO77" s="41"/>
      <c r="AAP77" s="41"/>
      <c r="AAQ77" s="76"/>
      <c r="AAR77" s="41"/>
      <c r="AAS77" s="41"/>
      <c r="AAT77" s="41"/>
      <c r="AAU77" s="41"/>
      <c r="AAV77" s="41"/>
      <c r="AAW77" s="42"/>
      <c r="AAX77" s="40"/>
      <c r="AAY77" s="66"/>
      <c r="AAZ77" s="66"/>
      <c r="ABA77" s="66"/>
      <c r="ABB77" s="41"/>
      <c r="ABC77" s="134"/>
      <c r="ABD77" s="41"/>
      <c r="ABE77" s="41"/>
      <c r="ABF77" s="41"/>
      <c r="ABG77" s="41"/>
      <c r="ABH77" s="41"/>
      <c r="ABI77" s="139"/>
      <c r="ABJ77" s="41"/>
      <c r="ABK77" s="41"/>
      <c r="ABL77" s="41"/>
      <c r="ABM77" s="41"/>
      <c r="ABN77" s="41"/>
      <c r="ABO77" s="76"/>
      <c r="ABP77" s="41"/>
      <c r="ABQ77" s="41"/>
      <c r="ABR77" s="41"/>
      <c r="ABS77" s="41"/>
      <c r="ABT77" s="41"/>
      <c r="ABU77" s="139"/>
      <c r="ABV77" s="41"/>
      <c r="ABW77" s="41"/>
      <c r="ABX77" s="41"/>
      <c r="ABY77" s="41"/>
      <c r="ABZ77" s="41"/>
      <c r="ACA77" s="76"/>
      <c r="ACB77" s="66"/>
      <c r="ACC77" s="66"/>
      <c r="ACD77" s="66"/>
      <c r="ACE77" s="66"/>
      <c r="ACF77" s="41"/>
      <c r="ACG77" s="139"/>
      <c r="ACH77" s="41"/>
      <c r="ACI77" s="41"/>
      <c r="ACJ77" s="41"/>
      <c r="ACK77" s="41"/>
      <c r="ACL77" s="41"/>
      <c r="ACM77" s="76"/>
      <c r="ACN77" s="41"/>
      <c r="ACO77" s="41"/>
      <c r="ACP77" s="41"/>
      <c r="ACQ77" s="41"/>
      <c r="ACR77" s="41"/>
      <c r="ACS77" s="139"/>
      <c r="ACT77" s="41"/>
      <c r="ACU77" s="41"/>
      <c r="ACV77" s="41"/>
      <c r="ACW77" s="41"/>
      <c r="ACX77" s="41"/>
      <c r="ACY77" s="76"/>
      <c r="ACZ77" s="41"/>
      <c r="ADA77" s="41"/>
      <c r="ADB77" s="41"/>
      <c r="ADC77" s="41"/>
      <c r="ADD77" s="41"/>
      <c r="ADE77" s="42"/>
      <c r="ADF77" s="40"/>
      <c r="ADG77" s="66"/>
      <c r="ADH77" s="66"/>
      <c r="ADI77" s="66"/>
      <c r="ADJ77" s="41"/>
      <c r="ADK77" s="134"/>
      <c r="ADL77" s="41"/>
      <c r="ADM77" s="41"/>
      <c r="ADN77" s="41"/>
      <c r="ADO77" s="41"/>
      <c r="ADP77" s="41"/>
      <c r="ADQ77" s="139"/>
      <c r="ADR77" s="41"/>
      <c r="ADS77" s="41"/>
      <c r="ADT77" s="41"/>
      <c r="ADU77" s="41"/>
      <c r="ADV77" s="41"/>
      <c r="ADW77" s="76"/>
      <c r="ADX77" s="41"/>
      <c r="ADY77" s="41"/>
      <c r="ADZ77" s="41"/>
      <c r="AEA77" s="41"/>
      <c r="AEB77" s="41"/>
      <c r="AEC77" s="139"/>
      <c r="AED77" s="41"/>
      <c r="AEE77" s="41"/>
      <c r="AEF77" s="41"/>
      <c r="AEG77" s="41"/>
      <c r="AEH77" s="41"/>
      <c r="AEI77" s="76"/>
      <c r="AEJ77" s="66"/>
      <c r="AEK77" s="66"/>
      <c r="AEL77" s="66"/>
      <c r="AEM77" s="66"/>
      <c r="AEN77" s="41"/>
      <c r="AEO77" s="139"/>
      <c r="AEP77" s="41"/>
      <c r="AEQ77" s="41"/>
      <c r="AER77" s="41"/>
      <c r="AES77" s="41"/>
      <c r="AET77" s="41"/>
      <c r="AEU77" s="76"/>
      <c r="AEV77" s="41"/>
      <c r="AEW77" s="41"/>
      <c r="AEX77" s="41"/>
      <c r="AEY77" s="41"/>
      <c r="AEZ77" s="41"/>
      <c r="AFA77" s="139"/>
      <c r="AFB77" s="41"/>
      <c r="AFC77" s="41"/>
      <c r="AFD77" s="41"/>
      <c r="AFE77" s="41"/>
      <c r="AFF77" s="41"/>
      <c r="AFG77" s="76"/>
      <c r="AFH77" s="41"/>
      <c r="AFI77" s="41"/>
      <c r="AFJ77" s="41"/>
      <c r="AFK77" s="41"/>
      <c r="AFL77" s="41"/>
      <c r="AFM77" s="42"/>
      <c r="AFN77" s="90"/>
    </row>
    <row r="78" spans="1:846" ht="20.100000000000001" customHeight="1" x14ac:dyDescent="0.25">
      <c r="A78" s="100" t="s">
        <v>21</v>
      </c>
      <c r="B78" s="63"/>
      <c r="C78" s="220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28"/>
      <c r="RS78" s="67"/>
      <c r="RT78" s="67"/>
      <c r="RU78" s="67"/>
      <c r="RV78" s="29"/>
      <c r="RW78" s="133"/>
      <c r="RX78" s="29"/>
      <c r="RY78" s="29"/>
      <c r="RZ78" s="29"/>
      <c r="SA78" s="29"/>
      <c r="SB78" s="29"/>
      <c r="SC78" s="138"/>
      <c r="SD78" s="29"/>
      <c r="SE78" s="29"/>
      <c r="SF78" s="29"/>
      <c r="SG78" s="29"/>
      <c r="SH78" s="29"/>
      <c r="SI78" s="75"/>
      <c r="SJ78" s="29"/>
      <c r="SK78" s="29"/>
      <c r="SL78" s="29"/>
      <c r="SM78" s="29"/>
      <c r="SN78" s="29"/>
      <c r="SO78" s="138"/>
      <c r="SP78" s="29"/>
      <c r="SQ78" s="29"/>
      <c r="SR78" s="29"/>
      <c r="SS78" s="29"/>
      <c r="ST78" s="29"/>
      <c r="SU78" s="75"/>
      <c r="SV78" s="67"/>
      <c r="SW78" s="67"/>
      <c r="SX78" s="67"/>
      <c r="SY78" s="67"/>
      <c r="SZ78" s="29"/>
      <c r="TA78" s="138"/>
      <c r="TB78" s="29"/>
      <c r="TC78" s="29"/>
      <c r="TD78" s="29"/>
      <c r="TE78" s="29"/>
      <c r="TF78" s="29"/>
      <c r="TG78" s="75"/>
      <c r="TH78" s="29"/>
      <c r="TI78" s="29"/>
      <c r="TJ78" s="29"/>
      <c r="TK78" s="29"/>
      <c r="TL78" s="29"/>
      <c r="TM78" s="138"/>
      <c r="TN78" s="29"/>
      <c r="TO78" s="29"/>
      <c r="TP78" s="29"/>
      <c r="TQ78" s="29"/>
      <c r="TR78" s="29"/>
      <c r="TS78" s="75"/>
      <c r="TT78" s="29"/>
      <c r="TU78" s="29"/>
      <c r="TV78" s="29"/>
      <c r="TW78" s="29"/>
      <c r="TX78" s="29"/>
      <c r="TY78" s="30"/>
      <c r="TZ78" s="28"/>
      <c r="UA78" s="67"/>
      <c r="UB78" s="67"/>
      <c r="UC78" s="67"/>
      <c r="UD78" s="29"/>
      <c r="UE78" s="133"/>
      <c r="UF78" s="29"/>
      <c r="UG78" s="29"/>
      <c r="UH78" s="29"/>
      <c r="UI78" s="29"/>
      <c r="UJ78" s="29"/>
      <c r="UK78" s="138"/>
      <c r="UL78" s="29"/>
      <c r="UM78" s="29"/>
      <c r="UN78" s="29"/>
      <c r="UO78" s="29"/>
      <c r="UP78" s="29"/>
      <c r="UQ78" s="75"/>
      <c r="UR78" s="29"/>
      <c r="US78" s="29"/>
      <c r="UT78" s="29"/>
      <c r="UU78" s="29"/>
      <c r="UV78" s="29"/>
      <c r="UW78" s="138"/>
      <c r="UX78" s="29"/>
      <c r="UY78" s="29"/>
      <c r="UZ78" s="29"/>
      <c r="VA78" s="29"/>
      <c r="VB78" s="29"/>
      <c r="VC78" s="75"/>
      <c r="VD78" s="67"/>
      <c r="VE78" s="67"/>
      <c r="VF78" s="67"/>
      <c r="VG78" s="67"/>
      <c r="VH78" s="29"/>
      <c r="VI78" s="138"/>
      <c r="VJ78" s="29"/>
      <c r="VK78" s="29"/>
      <c r="VL78" s="29"/>
      <c r="VM78" s="29"/>
      <c r="VN78" s="29"/>
      <c r="VO78" s="75"/>
      <c r="VP78" s="29"/>
      <c r="VQ78" s="29"/>
      <c r="VR78" s="29"/>
      <c r="VS78" s="29"/>
      <c r="VT78" s="29"/>
      <c r="VU78" s="138"/>
      <c r="VV78" s="29"/>
      <c r="VW78" s="29"/>
      <c r="VX78" s="29"/>
      <c r="VY78" s="29"/>
      <c r="VZ78" s="29"/>
      <c r="WA78" s="75"/>
      <c r="WB78" s="29"/>
      <c r="WC78" s="29"/>
      <c r="WD78" s="29"/>
      <c r="WE78" s="29"/>
      <c r="WF78" s="29"/>
      <c r="WG78" s="30"/>
      <c r="WH78" s="28"/>
      <c r="WI78" s="67"/>
      <c r="WJ78" s="67"/>
      <c r="WK78" s="67"/>
      <c r="WL78" s="29"/>
      <c r="WM78" s="133"/>
      <c r="WN78" s="29"/>
      <c r="WO78" s="29"/>
      <c r="WP78" s="29"/>
      <c r="WQ78" s="29"/>
      <c r="WR78" s="29"/>
      <c r="WS78" s="138"/>
      <c r="WT78" s="29"/>
      <c r="WU78" s="29"/>
      <c r="WV78" s="29"/>
      <c r="WW78" s="29"/>
      <c r="WX78" s="29"/>
      <c r="WY78" s="75"/>
      <c r="WZ78" s="29"/>
      <c r="XA78" s="29"/>
      <c r="XB78" s="29"/>
      <c r="XC78" s="29"/>
      <c r="XD78" s="29"/>
      <c r="XE78" s="138"/>
      <c r="XF78" s="29"/>
      <c r="XG78" s="29"/>
      <c r="XH78" s="29"/>
      <c r="XI78" s="29"/>
      <c r="XJ78" s="29"/>
      <c r="XK78" s="75"/>
      <c r="XL78" s="67"/>
      <c r="XM78" s="67"/>
      <c r="XN78" s="67"/>
      <c r="XO78" s="67"/>
      <c r="XP78" s="29"/>
      <c r="XQ78" s="138"/>
      <c r="XR78" s="29"/>
      <c r="XS78" s="29"/>
      <c r="XT78" s="29"/>
      <c r="XU78" s="29"/>
      <c r="XV78" s="29"/>
      <c r="XW78" s="75"/>
      <c r="XX78" s="29"/>
      <c r="XY78" s="29"/>
      <c r="XZ78" s="29"/>
      <c r="YA78" s="29"/>
      <c r="YB78" s="29"/>
      <c r="YC78" s="138"/>
      <c r="YD78" s="29"/>
      <c r="YE78" s="29"/>
      <c r="YF78" s="29"/>
      <c r="YG78" s="29"/>
      <c r="YH78" s="29"/>
      <c r="YI78" s="75"/>
      <c r="YJ78" s="29"/>
      <c r="YK78" s="29"/>
      <c r="YL78" s="29"/>
      <c r="YM78" s="29"/>
      <c r="YN78" s="29"/>
      <c r="YO78" s="30"/>
      <c r="YP78" s="28"/>
      <c r="YQ78" s="67"/>
      <c r="YR78" s="67"/>
      <c r="YS78" s="67"/>
      <c r="YT78" s="29"/>
      <c r="YU78" s="133"/>
      <c r="YV78" s="29"/>
      <c r="YW78" s="29"/>
      <c r="YX78" s="29"/>
      <c r="YY78" s="29"/>
      <c r="YZ78" s="29"/>
      <c r="ZA78" s="138"/>
      <c r="ZB78" s="29"/>
      <c r="ZC78" s="29"/>
      <c r="ZD78" s="29"/>
      <c r="ZE78" s="29"/>
      <c r="ZF78" s="29"/>
      <c r="ZG78" s="75"/>
      <c r="ZH78" s="29"/>
      <c r="ZI78" s="29"/>
      <c r="ZJ78" s="29"/>
      <c r="ZK78" s="29"/>
      <c r="ZL78" s="29"/>
      <c r="ZM78" s="138"/>
      <c r="ZN78" s="29"/>
      <c r="ZO78" s="29"/>
      <c r="ZP78" s="29"/>
      <c r="ZQ78" s="29"/>
      <c r="ZR78" s="29"/>
      <c r="ZS78" s="75"/>
      <c r="ZT78" s="67"/>
      <c r="ZU78" s="67"/>
      <c r="ZV78" s="67"/>
      <c r="ZW78" s="67"/>
      <c r="ZX78" s="29"/>
      <c r="ZY78" s="138"/>
      <c r="ZZ78" s="29"/>
      <c r="AAA78" s="29"/>
      <c r="AAB78" s="29"/>
      <c r="AAC78" s="29"/>
      <c r="AAD78" s="29"/>
      <c r="AAE78" s="75"/>
      <c r="AAF78" s="29"/>
      <c r="AAG78" s="29"/>
      <c r="AAH78" s="29"/>
      <c r="AAI78" s="29"/>
      <c r="AAJ78" s="29"/>
      <c r="AAK78" s="138"/>
      <c r="AAL78" s="29"/>
      <c r="AAM78" s="29"/>
      <c r="AAN78" s="29"/>
      <c r="AAO78" s="29"/>
      <c r="AAP78" s="29"/>
      <c r="AAQ78" s="75"/>
      <c r="AAR78" s="29"/>
      <c r="AAS78" s="29"/>
      <c r="AAT78" s="29"/>
      <c r="AAU78" s="29"/>
      <c r="AAV78" s="29"/>
      <c r="AAW78" s="30"/>
      <c r="AAX78" s="28"/>
      <c r="AAY78" s="67"/>
      <c r="AAZ78" s="67"/>
      <c r="ABA78" s="67"/>
      <c r="ABB78" s="29"/>
      <c r="ABC78" s="133"/>
      <c r="ABD78" s="29"/>
      <c r="ABE78" s="29"/>
      <c r="ABF78" s="29"/>
      <c r="ABG78" s="29"/>
      <c r="ABH78" s="29"/>
      <c r="ABI78" s="138"/>
      <c r="ABJ78" s="29"/>
      <c r="ABK78" s="29"/>
      <c r="ABL78" s="29"/>
      <c r="ABM78" s="29"/>
      <c r="ABN78" s="29"/>
      <c r="ABO78" s="75"/>
      <c r="ABP78" s="29"/>
      <c r="ABQ78" s="29"/>
      <c r="ABR78" s="29"/>
      <c r="ABS78" s="29"/>
      <c r="ABT78" s="29"/>
      <c r="ABU78" s="138"/>
      <c r="ABV78" s="29"/>
      <c r="ABW78" s="29"/>
      <c r="ABX78" s="29"/>
      <c r="ABY78" s="29"/>
      <c r="ABZ78" s="29"/>
      <c r="ACA78" s="75"/>
      <c r="ACB78" s="67"/>
      <c r="ACC78" s="67"/>
      <c r="ACD78" s="67"/>
      <c r="ACE78" s="67"/>
      <c r="ACF78" s="29"/>
      <c r="ACG78" s="138"/>
      <c r="ACH78" s="29"/>
      <c r="ACI78" s="29"/>
      <c r="ACJ78" s="29"/>
      <c r="ACK78" s="29"/>
      <c r="ACL78" s="29"/>
      <c r="ACM78" s="75"/>
      <c r="ACN78" s="29"/>
      <c r="ACO78" s="29"/>
      <c r="ACP78" s="29"/>
      <c r="ACQ78" s="29"/>
      <c r="ACR78" s="29"/>
      <c r="ACS78" s="138"/>
      <c r="ACT78" s="29"/>
      <c r="ACU78" s="29"/>
      <c r="ACV78" s="29"/>
      <c r="ACW78" s="29"/>
      <c r="ACX78" s="29"/>
      <c r="ACY78" s="75"/>
      <c r="ACZ78" s="29"/>
      <c r="ADA78" s="29"/>
      <c r="ADB78" s="29"/>
      <c r="ADC78" s="29"/>
      <c r="ADD78" s="29"/>
      <c r="ADE78" s="30"/>
      <c r="ADF78" s="28"/>
      <c r="ADG78" s="67"/>
      <c r="ADH78" s="67"/>
      <c r="ADI78" s="67"/>
      <c r="ADJ78" s="29"/>
      <c r="ADK78" s="133"/>
      <c r="ADL78" s="29"/>
      <c r="ADM78" s="29"/>
      <c r="ADN78" s="29"/>
      <c r="ADO78" s="29"/>
      <c r="ADP78" s="29"/>
      <c r="ADQ78" s="138"/>
      <c r="ADR78" s="29"/>
      <c r="ADS78" s="29"/>
      <c r="ADT78" s="29"/>
      <c r="ADU78" s="29"/>
      <c r="ADV78" s="29"/>
      <c r="ADW78" s="75"/>
      <c r="ADX78" s="29"/>
      <c r="ADY78" s="29"/>
      <c r="ADZ78" s="29"/>
      <c r="AEA78" s="29"/>
      <c r="AEB78" s="29"/>
      <c r="AEC78" s="138"/>
      <c r="AED78" s="29"/>
      <c r="AEE78" s="29"/>
      <c r="AEF78" s="29"/>
      <c r="AEG78" s="29"/>
      <c r="AEH78" s="29"/>
      <c r="AEI78" s="75"/>
      <c r="AEJ78" s="67"/>
      <c r="AEK78" s="67"/>
      <c r="AEL78" s="67"/>
      <c r="AEM78" s="67"/>
      <c r="AEN78" s="29"/>
      <c r="AEO78" s="138"/>
      <c r="AEP78" s="29"/>
      <c r="AEQ78" s="29"/>
      <c r="AER78" s="29"/>
      <c r="AES78" s="29"/>
      <c r="AET78" s="29"/>
      <c r="AEU78" s="75"/>
      <c r="AEV78" s="29"/>
      <c r="AEW78" s="29"/>
      <c r="AEX78" s="29"/>
      <c r="AEY78" s="29"/>
      <c r="AEZ78" s="29"/>
      <c r="AFA78" s="138"/>
      <c r="AFB78" s="29"/>
      <c r="AFC78" s="29"/>
      <c r="AFD78" s="29"/>
      <c r="AFE78" s="29"/>
      <c r="AFF78" s="29"/>
      <c r="AFG78" s="75"/>
      <c r="AFH78" s="29"/>
      <c r="AFI78" s="29"/>
      <c r="AFJ78" s="29"/>
      <c r="AFK78" s="29"/>
      <c r="AFL78" s="29"/>
      <c r="AFM78" s="30"/>
      <c r="AFN78" s="90"/>
    </row>
    <row r="79" spans="1:846" ht="20.100000000000001" customHeight="1" x14ac:dyDescent="0.25">
      <c r="A79" s="100" t="s">
        <v>20</v>
      </c>
      <c r="B79" s="63"/>
      <c r="C79" s="218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32"/>
      <c r="RS79" s="64"/>
      <c r="RT79" s="64"/>
      <c r="RU79" s="64"/>
      <c r="RV79" s="33"/>
      <c r="RW79" s="132"/>
      <c r="RX79" s="33"/>
      <c r="RY79" s="33"/>
      <c r="RZ79" s="33"/>
      <c r="SA79" s="33"/>
      <c r="SB79" s="33"/>
      <c r="SC79" s="137"/>
      <c r="SD79" s="33"/>
      <c r="SE79" s="33"/>
      <c r="SF79" s="33"/>
      <c r="SG79" s="33"/>
      <c r="SH79" s="33"/>
      <c r="SI79" s="74"/>
      <c r="SJ79" s="33"/>
      <c r="SK79" s="33"/>
      <c r="SL79" s="33"/>
      <c r="SM79" s="33"/>
      <c r="SN79" s="33"/>
      <c r="SO79" s="137"/>
      <c r="SP79" s="33"/>
      <c r="SQ79" s="33"/>
      <c r="SR79" s="33"/>
      <c r="SS79" s="33"/>
      <c r="ST79" s="33"/>
      <c r="SU79" s="74"/>
      <c r="SV79" s="64"/>
      <c r="SW79" s="64"/>
      <c r="SX79" s="64"/>
      <c r="SY79" s="64"/>
      <c r="SZ79" s="33"/>
      <c r="TA79" s="137"/>
      <c r="TB79" s="33"/>
      <c r="TC79" s="33"/>
      <c r="TD79" s="33"/>
      <c r="TE79" s="33"/>
      <c r="TF79" s="33"/>
      <c r="TG79" s="74"/>
      <c r="TH79" s="33"/>
      <c r="TI79" s="33"/>
      <c r="TJ79" s="33"/>
      <c r="TK79" s="33"/>
      <c r="TL79" s="33"/>
      <c r="TM79" s="137"/>
      <c r="TN79" s="33"/>
      <c r="TO79" s="33"/>
      <c r="TP79" s="33"/>
      <c r="TQ79" s="33"/>
      <c r="TR79" s="33"/>
      <c r="TS79" s="74"/>
      <c r="TT79" s="33"/>
      <c r="TU79" s="33"/>
      <c r="TV79" s="33"/>
      <c r="TW79" s="33"/>
      <c r="TX79" s="33"/>
      <c r="TY79" s="34"/>
      <c r="TZ79" s="32"/>
      <c r="UA79" s="64"/>
      <c r="UB79" s="64"/>
      <c r="UC79" s="64"/>
      <c r="UD79" s="33"/>
      <c r="UE79" s="132"/>
      <c r="UF79" s="33"/>
      <c r="UG79" s="33"/>
      <c r="UH79" s="33"/>
      <c r="UI79" s="33"/>
      <c r="UJ79" s="33"/>
      <c r="UK79" s="137"/>
      <c r="UL79" s="33"/>
      <c r="UM79" s="33"/>
      <c r="UN79" s="33"/>
      <c r="UO79" s="33"/>
      <c r="UP79" s="33"/>
      <c r="UQ79" s="74"/>
      <c r="UR79" s="33"/>
      <c r="US79" s="33"/>
      <c r="UT79" s="33"/>
      <c r="UU79" s="33"/>
      <c r="UV79" s="33"/>
      <c r="UW79" s="137"/>
      <c r="UX79" s="33"/>
      <c r="UY79" s="33"/>
      <c r="UZ79" s="33"/>
      <c r="VA79" s="33"/>
      <c r="VB79" s="33"/>
      <c r="VC79" s="74"/>
      <c r="VD79" s="64"/>
      <c r="VE79" s="64"/>
      <c r="VF79" s="64"/>
      <c r="VG79" s="64"/>
      <c r="VH79" s="33"/>
      <c r="VI79" s="137"/>
      <c r="VJ79" s="33"/>
      <c r="VK79" s="33"/>
      <c r="VL79" s="33"/>
      <c r="VM79" s="33"/>
      <c r="VN79" s="33"/>
      <c r="VO79" s="74"/>
      <c r="VP79" s="33"/>
      <c r="VQ79" s="33"/>
      <c r="VR79" s="33"/>
      <c r="VS79" s="33"/>
      <c r="VT79" s="33"/>
      <c r="VU79" s="137"/>
      <c r="VV79" s="33"/>
      <c r="VW79" s="33"/>
      <c r="VX79" s="33"/>
      <c r="VY79" s="33"/>
      <c r="VZ79" s="33"/>
      <c r="WA79" s="74"/>
      <c r="WB79" s="33"/>
      <c r="WC79" s="33"/>
      <c r="WD79" s="33"/>
      <c r="WE79" s="33"/>
      <c r="WF79" s="33"/>
      <c r="WG79" s="34"/>
      <c r="WH79" s="32"/>
      <c r="WI79" s="64"/>
      <c r="WJ79" s="64"/>
      <c r="WK79" s="64"/>
      <c r="WL79" s="33"/>
      <c r="WM79" s="132"/>
      <c r="WN79" s="33"/>
      <c r="WO79" s="33"/>
      <c r="WP79" s="33"/>
      <c r="WQ79" s="33"/>
      <c r="WR79" s="33"/>
      <c r="WS79" s="137"/>
      <c r="WT79" s="33"/>
      <c r="WU79" s="33"/>
      <c r="WV79" s="33"/>
      <c r="WW79" s="33"/>
      <c r="WX79" s="33"/>
      <c r="WY79" s="74"/>
      <c r="WZ79" s="33"/>
      <c r="XA79" s="33"/>
      <c r="XB79" s="33"/>
      <c r="XC79" s="33"/>
      <c r="XD79" s="33"/>
      <c r="XE79" s="137"/>
      <c r="XF79" s="33"/>
      <c r="XG79" s="33"/>
      <c r="XH79" s="33"/>
      <c r="XI79" s="33"/>
      <c r="XJ79" s="33"/>
      <c r="XK79" s="74"/>
      <c r="XL79" s="64"/>
      <c r="XM79" s="64"/>
      <c r="XN79" s="64"/>
      <c r="XO79" s="64"/>
      <c r="XP79" s="33"/>
      <c r="XQ79" s="137"/>
      <c r="XR79" s="33"/>
      <c r="XS79" s="33"/>
      <c r="XT79" s="33"/>
      <c r="XU79" s="33"/>
      <c r="XV79" s="33"/>
      <c r="XW79" s="74"/>
      <c r="XX79" s="33"/>
      <c r="XY79" s="33"/>
      <c r="XZ79" s="33"/>
      <c r="YA79" s="33"/>
      <c r="YB79" s="33"/>
      <c r="YC79" s="137"/>
      <c r="YD79" s="33"/>
      <c r="YE79" s="33"/>
      <c r="YF79" s="33"/>
      <c r="YG79" s="33"/>
      <c r="YH79" s="33"/>
      <c r="YI79" s="74"/>
      <c r="YJ79" s="33"/>
      <c r="YK79" s="33"/>
      <c r="YL79" s="33"/>
      <c r="YM79" s="33"/>
      <c r="YN79" s="33"/>
      <c r="YO79" s="34"/>
      <c r="YP79" s="32"/>
      <c r="YQ79" s="64"/>
      <c r="YR79" s="64"/>
      <c r="YS79" s="64"/>
      <c r="YT79" s="33"/>
      <c r="YU79" s="132"/>
      <c r="YV79" s="33"/>
      <c r="YW79" s="33"/>
      <c r="YX79" s="33"/>
      <c r="YY79" s="33"/>
      <c r="YZ79" s="33"/>
      <c r="ZA79" s="137"/>
      <c r="ZB79" s="33"/>
      <c r="ZC79" s="33"/>
      <c r="ZD79" s="33"/>
      <c r="ZE79" s="33"/>
      <c r="ZF79" s="33"/>
      <c r="ZG79" s="74"/>
      <c r="ZH79" s="33"/>
      <c r="ZI79" s="33"/>
      <c r="ZJ79" s="33"/>
      <c r="ZK79" s="33"/>
      <c r="ZL79" s="33"/>
      <c r="ZM79" s="137"/>
      <c r="ZN79" s="33"/>
      <c r="ZO79" s="33"/>
      <c r="ZP79" s="33"/>
      <c r="ZQ79" s="33"/>
      <c r="ZR79" s="33"/>
      <c r="ZS79" s="74"/>
      <c r="ZT79" s="64"/>
      <c r="ZU79" s="64"/>
      <c r="ZV79" s="64"/>
      <c r="ZW79" s="64"/>
      <c r="ZX79" s="33"/>
      <c r="ZY79" s="137"/>
      <c r="ZZ79" s="33"/>
      <c r="AAA79" s="33"/>
      <c r="AAB79" s="33"/>
      <c r="AAC79" s="33"/>
      <c r="AAD79" s="33"/>
      <c r="AAE79" s="74"/>
      <c r="AAF79" s="33"/>
      <c r="AAG79" s="33"/>
      <c r="AAH79" s="33"/>
      <c r="AAI79" s="33"/>
      <c r="AAJ79" s="33"/>
      <c r="AAK79" s="137"/>
      <c r="AAL79" s="33"/>
      <c r="AAM79" s="33"/>
      <c r="AAN79" s="33"/>
      <c r="AAO79" s="33"/>
      <c r="AAP79" s="33"/>
      <c r="AAQ79" s="74"/>
      <c r="AAR79" s="33"/>
      <c r="AAS79" s="33"/>
      <c r="AAT79" s="33"/>
      <c r="AAU79" s="33"/>
      <c r="AAV79" s="33"/>
      <c r="AAW79" s="34"/>
      <c r="AAX79" s="32"/>
      <c r="AAY79" s="64"/>
      <c r="AAZ79" s="64"/>
      <c r="ABA79" s="64"/>
      <c r="ABB79" s="33"/>
      <c r="ABC79" s="132"/>
      <c r="ABD79" s="33"/>
      <c r="ABE79" s="33"/>
      <c r="ABF79" s="33"/>
      <c r="ABG79" s="33"/>
      <c r="ABH79" s="33"/>
      <c r="ABI79" s="137"/>
      <c r="ABJ79" s="33"/>
      <c r="ABK79" s="33"/>
      <c r="ABL79" s="33"/>
      <c r="ABM79" s="33"/>
      <c r="ABN79" s="33"/>
      <c r="ABO79" s="74"/>
      <c r="ABP79" s="33"/>
      <c r="ABQ79" s="33"/>
      <c r="ABR79" s="33"/>
      <c r="ABS79" s="33"/>
      <c r="ABT79" s="33"/>
      <c r="ABU79" s="137"/>
      <c r="ABV79" s="33"/>
      <c r="ABW79" s="33"/>
      <c r="ABX79" s="33"/>
      <c r="ABY79" s="33"/>
      <c r="ABZ79" s="33"/>
      <c r="ACA79" s="74"/>
      <c r="ACB79" s="64"/>
      <c r="ACC79" s="64"/>
      <c r="ACD79" s="64"/>
      <c r="ACE79" s="64"/>
      <c r="ACF79" s="33"/>
      <c r="ACG79" s="137"/>
      <c r="ACH79" s="33"/>
      <c r="ACI79" s="33"/>
      <c r="ACJ79" s="33"/>
      <c r="ACK79" s="33"/>
      <c r="ACL79" s="33"/>
      <c r="ACM79" s="74"/>
      <c r="ACN79" s="33"/>
      <c r="ACO79" s="33"/>
      <c r="ACP79" s="33"/>
      <c r="ACQ79" s="33"/>
      <c r="ACR79" s="33"/>
      <c r="ACS79" s="137"/>
      <c r="ACT79" s="33"/>
      <c r="ACU79" s="33"/>
      <c r="ACV79" s="33"/>
      <c r="ACW79" s="33"/>
      <c r="ACX79" s="33"/>
      <c r="ACY79" s="74"/>
      <c r="ACZ79" s="33"/>
      <c r="ADA79" s="33"/>
      <c r="ADB79" s="33"/>
      <c r="ADC79" s="33"/>
      <c r="ADD79" s="33"/>
      <c r="ADE79" s="34"/>
      <c r="ADF79" s="32"/>
      <c r="ADG79" s="64"/>
      <c r="ADH79" s="64"/>
      <c r="ADI79" s="64"/>
      <c r="ADJ79" s="33"/>
      <c r="ADK79" s="132"/>
      <c r="ADL79" s="33"/>
      <c r="ADM79" s="33"/>
      <c r="ADN79" s="33"/>
      <c r="ADO79" s="33"/>
      <c r="ADP79" s="33"/>
      <c r="ADQ79" s="137"/>
      <c r="ADR79" s="33"/>
      <c r="ADS79" s="33"/>
      <c r="ADT79" s="33"/>
      <c r="ADU79" s="33"/>
      <c r="ADV79" s="33"/>
      <c r="ADW79" s="74"/>
      <c r="ADX79" s="33"/>
      <c r="ADY79" s="33"/>
      <c r="ADZ79" s="33"/>
      <c r="AEA79" s="33"/>
      <c r="AEB79" s="33"/>
      <c r="AEC79" s="137"/>
      <c r="AED79" s="33"/>
      <c r="AEE79" s="33"/>
      <c r="AEF79" s="33"/>
      <c r="AEG79" s="33"/>
      <c r="AEH79" s="33"/>
      <c r="AEI79" s="74"/>
      <c r="AEJ79" s="64"/>
      <c r="AEK79" s="64"/>
      <c r="AEL79" s="64"/>
      <c r="AEM79" s="64"/>
      <c r="AEN79" s="33"/>
      <c r="AEO79" s="137"/>
      <c r="AEP79" s="33"/>
      <c r="AEQ79" s="33"/>
      <c r="AER79" s="33"/>
      <c r="AES79" s="33"/>
      <c r="AET79" s="33"/>
      <c r="AEU79" s="74"/>
      <c r="AEV79" s="33"/>
      <c r="AEW79" s="33"/>
      <c r="AEX79" s="33"/>
      <c r="AEY79" s="33"/>
      <c r="AEZ79" s="33"/>
      <c r="AFA79" s="137"/>
      <c r="AFB79" s="33"/>
      <c r="AFC79" s="33"/>
      <c r="AFD79" s="33"/>
      <c r="AFE79" s="33"/>
      <c r="AFF79" s="33"/>
      <c r="AFG79" s="74"/>
      <c r="AFH79" s="33"/>
      <c r="AFI79" s="33"/>
      <c r="AFJ79" s="33"/>
      <c r="AFK79" s="33"/>
      <c r="AFL79" s="33"/>
      <c r="AFM79" s="34"/>
      <c r="AFN79" s="90"/>
    </row>
    <row r="80" spans="1:846" ht="20.100000000000001" customHeight="1" x14ac:dyDescent="0.3">
      <c r="A80" s="100" t="s">
        <v>21</v>
      </c>
      <c r="B80" s="63"/>
      <c r="C80" s="219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36"/>
      <c r="RS80" s="65"/>
      <c r="RT80" s="65"/>
      <c r="RU80" s="65"/>
      <c r="RV80" s="37"/>
      <c r="RW80" s="133"/>
      <c r="RX80" s="37"/>
      <c r="RY80" s="37"/>
      <c r="RZ80" s="37"/>
      <c r="SA80" s="37"/>
      <c r="SB80" s="37"/>
      <c r="SC80" s="138"/>
      <c r="SD80" s="37"/>
      <c r="SE80" s="37"/>
      <c r="SF80" s="37"/>
      <c r="SG80" s="37"/>
      <c r="SH80" s="37"/>
      <c r="SI80" s="75"/>
      <c r="SJ80" s="37"/>
      <c r="SK80" s="37"/>
      <c r="SL80" s="37"/>
      <c r="SM80" s="37"/>
      <c r="SN80" s="37"/>
      <c r="SO80" s="138"/>
      <c r="SP80" s="37"/>
      <c r="SQ80" s="37"/>
      <c r="SR80" s="37"/>
      <c r="SS80" s="37"/>
      <c r="ST80" s="37"/>
      <c r="SU80" s="75"/>
      <c r="SV80" s="65"/>
      <c r="SW80" s="65"/>
      <c r="SX80" s="65"/>
      <c r="SY80" s="65"/>
      <c r="SZ80" s="37"/>
      <c r="TA80" s="138"/>
      <c r="TB80" s="37"/>
      <c r="TC80" s="37"/>
      <c r="TD80" s="37"/>
      <c r="TE80" s="37"/>
      <c r="TF80" s="37"/>
      <c r="TG80" s="75"/>
      <c r="TH80" s="37"/>
      <c r="TI80" s="37"/>
      <c r="TJ80" s="37"/>
      <c r="TK80" s="37"/>
      <c r="TL80" s="37"/>
      <c r="TM80" s="138"/>
      <c r="TN80" s="37"/>
      <c r="TO80" s="37"/>
      <c r="TP80" s="37"/>
      <c r="TQ80" s="37"/>
      <c r="TR80" s="37"/>
      <c r="TS80" s="75"/>
      <c r="TT80" s="37"/>
      <c r="TU80" s="37"/>
      <c r="TV80" s="37"/>
      <c r="TW80" s="37"/>
      <c r="TX80" s="37"/>
      <c r="TY80" s="38"/>
      <c r="TZ80" s="36"/>
      <c r="UA80" s="65"/>
      <c r="UB80" s="65"/>
      <c r="UC80" s="65"/>
      <c r="UD80" s="37"/>
      <c r="UE80" s="133"/>
      <c r="UF80" s="37"/>
      <c r="UG80" s="37"/>
      <c r="UH80" s="37"/>
      <c r="UI80" s="37"/>
      <c r="UJ80" s="37"/>
      <c r="UK80" s="138"/>
      <c r="UL80" s="37"/>
      <c r="UM80" s="37"/>
      <c r="UN80" s="37"/>
      <c r="UO80" s="37"/>
      <c r="UP80" s="37"/>
      <c r="UQ80" s="75"/>
      <c r="UR80" s="37"/>
      <c r="US80" s="37"/>
      <c r="UT80" s="37"/>
      <c r="UU80" s="37"/>
      <c r="UV80" s="37"/>
      <c r="UW80" s="138"/>
      <c r="UX80" s="37"/>
      <c r="UY80" s="37"/>
      <c r="UZ80" s="37"/>
      <c r="VA80" s="37"/>
      <c r="VB80" s="37"/>
      <c r="VC80" s="75"/>
      <c r="VD80" s="65"/>
      <c r="VE80" s="65"/>
      <c r="VF80" s="65"/>
      <c r="VG80" s="65"/>
      <c r="VH80" s="37"/>
      <c r="VI80" s="138"/>
      <c r="VJ80" s="37"/>
      <c r="VK80" s="37"/>
      <c r="VL80" s="37"/>
      <c r="VM80" s="37"/>
      <c r="VN80" s="37"/>
      <c r="VO80" s="75"/>
      <c r="VP80" s="37"/>
      <c r="VQ80" s="37"/>
      <c r="VR80" s="37"/>
      <c r="VS80" s="37"/>
      <c r="VT80" s="37"/>
      <c r="VU80" s="138"/>
      <c r="VV80" s="37"/>
      <c r="VW80" s="37"/>
      <c r="VX80" s="37"/>
      <c r="VY80" s="37"/>
      <c r="VZ80" s="37"/>
      <c r="WA80" s="75"/>
      <c r="WB80" s="37"/>
      <c r="WC80" s="37"/>
      <c r="WD80" s="37"/>
      <c r="WE80" s="37"/>
      <c r="WF80" s="37"/>
      <c r="WG80" s="38"/>
      <c r="WH80" s="36"/>
      <c r="WI80" s="65"/>
      <c r="WJ80" s="65"/>
      <c r="WK80" s="65"/>
      <c r="WL80" s="37"/>
      <c r="WM80" s="133"/>
      <c r="WN80" s="37"/>
      <c r="WO80" s="37"/>
      <c r="WP80" s="37"/>
      <c r="WQ80" s="37"/>
      <c r="WR80" s="37"/>
      <c r="WS80" s="138"/>
      <c r="WT80" s="37"/>
      <c r="WU80" s="37"/>
      <c r="WV80" s="37"/>
      <c r="WW80" s="37"/>
      <c r="WX80" s="37"/>
      <c r="WY80" s="75"/>
      <c r="WZ80" s="37"/>
      <c r="XA80" s="37"/>
      <c r="XB80" s="37"/>
      <c r="XC80" s="37"/>
      <c r="XD80" s="37"/>
      <c r="XE80" s="138"/>
      <c r="XF80" s="37"/>
      <c r="XG80" s="37"/>
      <c r="XH80" s="37"/>
      <c r="XI80" s="37"/>
      <c r="XJ80" s="37"/>
      <c r="XK80" s="75"/>
      <c r="XL80" s="65"/>
      <c r="XM80" s="65"/>
      <c r="XN80" s="65"/>
      <c r="XO80" s="65"/>
      <c r="XP80" s="37"/>
      <c r="XQ80" s="138"/>
      <c r="XR80" s="37"/>
      <c r="XS80" s="37"/>
      <c r="XT80" s="37"/>
      <c r="XU80" s="37"/>
      <c r="XV80" s="37"/>
      <c r="XW80" s="75"/>
      <c r="XX80" s="37"/>
      <c r="XY80" s="37"/>
      <c r="XZ80" s="37"/>
      <c r="YA80" s="37"/>
      <c r="YB80" s="37"/>
      <c r="YC80" s="138"/>
      <c r="YD80" s="37"/>
      <c r="YE80" s="37"/>
      <c r="YF80" s="37"/>
      <c r="YG80" s="37"/>
      <c r="YH80" s="37"/>
      <c r="YI80" s="75"/>
      <c r="YJ80" s="37"/>
      <c r="YK80" s="37"/>
      <c r="YL80" s="37"/>
      <c r="YM80" s="37"/>
      <c r="YN80" s="37"/>
      <c r="YO80" s="38"/>
      <c r="YP80" s="36"/>
      <c r="YQ80" s="65"/>
      <c r="YR80" s="65"/>
      <c r="YS80" s="65"/>
      <c r="YT80" s="37"/>
      <c r="YU80" s="133"/>
      <c r="YV80" s="37"/>
      <c r="YW80" s="37"/>
      <c r="YX80" s="37"/>
      <c r="YY80" s="37"/>
      <c r="YZ80" s="37"/>
      <c r="ZA80" s="138"/>
      <c r="ZB80" s="37"/>
      <c r="ZC80" s="37"/>
      <c r="ZD80" s="37"/>
      <c r="ZE80" s="37"/>
      <c r="ZF80" s="37"/>
      <c r="ZG80" s="75"/>
      <c r="ZH80" s="37"/>
      <c r="ZI80" s="37"/>
      <c r="ZJ80" s="37"/>
      <c r="ZK80" s="37"/>
      <c r="ZL80" s="37"/>
      <c r="ZM80" s="138"/>
      <c r="ZN80" s="37"/>
      <c r="ZO80" s="37"/>
      <c r="ZP80" s="37"/>
      <c r="ZQ80" s="37"/>
      <c r="ZR80" s="37"/>
      <c r="ZS80" s="75"/>
      <c r="ZT80" s="65"/>
      <c r="ZU80" s="65"/>
      <c r="ZV80" s="65"/>
      <c r="ZW80" s="65"/>
      <c r="ZX80" s="37"/>
      <c r="ZY80" s="138"/>
      <c r="ZZ80" s="37"/>
      <c r="AAA80" s="37"/>
      <c r="AAB80" s="37"/>
      <c r="AAC80" s="37"/>
      <c r="AAD80" s="37"/>
      <c r="AAE80" s="75"/>
      <c r="AAF80" s="37"/>
      <c r="AAG80" s="37"/>
      <c r="AAH80" s="37"/>
      <c r="AAI80" s="37"/>
      <c r="AAJ80" s="37"/>
      <c r="AAK80" s="138"/>
      <c r="AAL80" s="37"/>
      <c r="AAM80" s="37"/>
      <c r="AAN80" s="37"/>
      <c r="AAO80" s="37"/>
      <c r="AAP80" s="37"/>
      <c r="AAQ80" s="75"/>
      <c r="AAR80" s="37"/>
      <c r="AAS80" s="37"/>
      <c r="AAT80" s="37"/>
      <c r="AAU80" s="37"/>
      <c r="AAV80" s="37"/>
      <c r="AAW80" s="38"/>
      <c r="AAX80" s="36"/>
      <c r="AAY80" s="65"/>
      <c r="AAZ80" s="65"/>
      <c r="ABA80" s="65"/>
      <c r="ABB80" s="37"/>
      <c r="ABC80" s="133"/>
      <c r="ABD80" s="37"/>
      <c r="ABE80" s="37"/>
      <c r="ABF80" s="37"/>
      <c r="ABG80" s="37"/>
      <c r="ABH80" s="37"/>
      <c r="ABI80" s="138"/>
      <c r="ABJ80" s="37"/>
      <c r="ABK80" s="37"/>
      <c r="ABL80" s="37"/>
      <c r="ABM80" s="37"/>
      <c r="ABN80" s="37"/>
      <c r="ABO80" s="75"/>
      <c r="ABP80" s="37"/>
      <c r="ABQ80" s="37"/>
      <c r="ABR80" s="37"/>
      <c r="ABS80" s="37"/>
      <c r="ABT80" s="37"/>
      <c r="ABU80" s="138"/>
      <c r="ABV80" s="37"/>
      <c r="ABW80" s="37"/>
      <c r="ABX80" s="37"/>
      <c r="ABY80" s="37"/>
      <c r="ABZ80" s="37"/>
      <c r="ACA80" s="75"/>
      <c r="ACB80" s="65"/>
      <c r="ACC80" s="65"/>
      <c r="ACD80" s="65"/>
      <c r="ACE80" s="65"/>
      <c r="ACF80" s="37"/>
      <c r="ACG80" s="138"/>
      <c r="ACH80" s="37"/>
      <c r="ACI80" s="37"/>
      <c r="ACJ80" s="37"/>
      <c r="ACK80" s="37"/>
      <c r="ACL80" s="37"/>
      <c r="ACM80" s="75"/>
      <c r="ACN80" s="37"/>
      <c r="ACO80" s="37"/>
      <c r="ACP80" s="37"/>
      <c r="ACQ80" s="37"/>
      <c r="ACR80" s="37"/>
      <c r="ACS80" s="138"/>
      <c r="ACT80" s="37"/>
      <c r="ACU80" s="37"/>
      <c r="ACV80" s="37"/>
      <c r="ACW80" s="37"/>
      <c r="ACX80" s="37"/>
      <c r="ACY80" s="75"/>
      <c r="ACZ80" s="37"/>
      <c r="ADA80" s="37"/>
      <c r="ADB80" s="37"/>
      <c r="ADC80" s="37"/>
      <c r="ADD80" s="37"/>
      <c r="ADE80" s="38"/>
      <c r="ADF80" s="36"/>
      <c r="ADG80" s="65"/>
      <c r="ADH80" s="65"/>
      <c r="ADI80" s="65"/>
      <c r="ADJ80" s="37"/>
      <c r="ADK80" s="133"/>
      <c r="ADL80" s="37"/>
      <c r="ADM80" s="37"/>
      <c r="ADN80" s="37"/>
      <c r="ADO80" s="37"/>
      <c r="ADP80" s="37"/>
      <c r="ADQ80" s="138"/>
      <c r="ADR80" s="37"/>
      <c r="ADS80" s="37"/>
      <c r="ADT80" s="37"/>
      <c r="ADU80" s="37"/>
      <c r="ADV80" s="37"/>
      <c r="ADW80" s="75"/>
      <c r="ADX80" s="37"/>
      <c r="ADY80" s="37"/>
      <c r="ADZ80" s="37"/>
      <c r="AEA80" s="37"/>
      <c r="AEB80" s="37"/>
      <c r="AEC80" s="138"/>
      <c r="AED80" s="37"/>
      <c r="AEE80" s="37"/>
      <c r="AEF80" s="37"/>
      <c r="AEG80" s="37"/>
      <c r="AEH80" s="37"/>
      <c r="AEI80" s="75"/>
      <c r="AEJ80" s="65"/>
      <c r="AEK80" s="65"/>
      <c r="AEL80" s="65"/>
      <c r="AEM80" s="65"/>
      <c r="AEN80" s="37"/>
      <c r="AEO80" s="138"/>
      <c r="AEP80" s="37"/>
      <c r="AEQ80" s="37"/>
      <c r="AER80" s="37"/>
      <c r="AES80" s="37"/>
      <c r="AET80" s="37"/>
      <c r="AEU80" s="75"/>
      <c r="AEV80" s="37"/>
      <c r="AEW80" s="37"/>
      <c r="AEX80" s="37"/>
      <c r="AEY80" s="37"/>
      <c r="AEZ80" s="37"/>
      <c r="AFA80" s="138"/>
      <c r="AFB80" s="37"/>
      <c r="AFC80" s="37"/>
      <c r="AFD80" s="37"/>
      <c r="AFE80" s="37"/>
      <c r="AFF80" s="37"/>
      <c r="AFG80" s="75"/>
      <c r="AFH80" s="37"/>
      <c r="AFI80" s="37"/>
      <c r="AFJ80" s="37"/>
      <c r="AFK80" s="37"/>
      <c r="AFL80" s="37"/>
      <c r="AFM80" s="38"/>
      <c r="AFN80" s="90"/>
    </row>
    <row r="81" spans="1:846" ht="20.100000000000001" customHeight="1" x14ac:dyDescent="0.25">
      <c r="A81" s="100" t="s">
        <v>20</v>
      </c>
      <c r="B81" s="63"/>
      <c r="C81" s="218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40"/>
      <c r="RS81" s="66"/>
      <c r="RT81" s="66"/>
      <c r="RU81" s="66"/>
      <c r="RV81" s="41"/>
      <c r="RW81" s="134"/>
      <c r="RX81" s="41"/>
      <c r="RY81" s="41"/>
      <c r="RZ81" s="41"/>
      <c r="SA81" s="41"/>
      <c r="SB81" s="41"/>
      <c r="SC81" s="139"/>
      <c r="SD81" s="41"/>
      <c r="SE81" s="41"/>
      <c r="SF81" s="41"/>
      <c r="SG81" s="41"/>
      <c r="SH81" s="41"/>
      <c r="SI81" s="76"/>
      <c r="SJ81" s="41"/>
      <c r="SK81" s="41"/>
      <c r="SL81" s="41"/>
      <c r="SM81" s="41"/>
      <c r="SN81" s="41"/>
      <c r="SO81" s="139"/>
      <c r="SP81" s="41"/>
      <c r="SQ81" s="41"/>
      <c r="SR81" s="41"/>
      <c r="SS81" s="41"/>
      <c r="ST81" s="41"/>
      <c r="SU81" s="76"/>
      <c r="SV81" s="66"/>
      <c r="SW81" s="66"/>
      <c r="SX81" s="66"/>
      <c r="SY81" s="66"/>
      <c r="SZ81" s="41"/>
      <c r="TA81" s="139"/>
      <c r="TB81" s="41"/>
      <c r="TC81" s="41"/>
      <c r="TD81" s="41"/>
      <c r="TE81" s="41"/>
      <c r="TF81" s="41"/>
      <c r="TG81" s="76"/>
      <c r="TH81" s="41"/>
      <c r="TI81" s="41"/>
      <c r="TJ81" s="41"/>
      <c r="TK81" s="41"/>
      <c r="TL81" s="41"/>
      <c r="TM81" s="139"/>
      <c r="TN81" s="41"/>
      <c r="TO81" s="41"/>
      <c r="TP81" s="41"/>
      <c r="TQ81" s="41"/>
      <c r="TR81" s="41"/>
      <c r="TS81" s="76"/>
      <c r="TT81" s="41"/>
      <c r="TU81" s="41"/>
      <c r="TV81" s="41"/>
      <c r="TW81" s="41"/>
      <c r="TX81" s="41"/>
      <c r="TY81" s="42"/>
      <c r="TZ81" s="40"/>
      <c r="UA81" s="66"/>
      <c r="UB81" s="66"/>
      <c r="UC81" s="66"/>
      <c r="UD81" s="41"/>
      <c r="UE81" s="134"/>
      <c r="UF81" s="41"/>
      <c r="UG81" s="41"/>
      <c r="UH81" s="41"/>
      <c r="UI81" s="41"/>
      <c r="UJ81" s="41"/>
      <c r="UK81" s="139"/>
      <c r="UL81" s="41"/>
      <c r="UM81" s="41"/>
      <c r="UN81" s="41"/>
      <c r="UO81" s="41"/>
      <c r="UP81" s="41"/>
      <c r="UQ81" s="76"/>
      <c r="UR81" s="41"/>
      <c r="US81" s="41"/>
      <c r="UT81" s="41"/>
      <c r="UU81" s="41"/>
      <c r="UV81" s="41"/>
      <c r="UW81" s="139"/>
      <c r="UX81" s="41"/>
      <c r="UY81" s="41"/>
      <c r="UZ81" s="41"/>
      <c r="VA81" s="41"/>
      <c r="VB81" s="41"/>
      <c r="VC81" s="76"/>
      <c r="VD81" s="66"/>
      <c r="VE81" s="66"/>
      <c r="VF81" s="66"/>
      <c r="VG81" s="66"/>
      <c r="VH81" s="41"/>
      <c r="VI81" s="139"/>
      <c r="VJ81" s="41"/>
      <c r="VK81" s="41"/>
      <c r="VL81" s="41"/>
      <c r="VM81" s="41"/>
      <c r="VN81" s="41"/>
      <c r="VO81" s="76"/>
      <c r="VP81" s="41"/>
      <c r="VQ81" s="41"/>
      <c r="VR81" s="41"/>
      <c r="VS81" s="41"/>
      <c r="VT81" s="41"/>
      <c r="VU81" s="139"/>
      <c r="VV81" s="41"/>
      <c r="VW81" s="41"/>
      <c r="VX81" s="41"/>
      <c r="VY81" s="41"/>
      <c r="VZ81" s="41"/>
      <c r="WA81" s="76"/>
      <c r="WB81" s="41"/>
      <c r="WC81" s="41"/>
      <c r="WD81" s="41"/>
      <c r="WE81" s="41"/>
      <c r="WF81" s="41"/>
      <c r="WG81" s="42"/>
      <c r="WH81" s="40"/>
      <c r="WI81" s="66"/>
      <c r="WJ81" s="66"/>
      <c r="WK81" s="66"/>
      <c r="WL81" s="41"/>
      <c r="WM81" s="134"/>
      <c r="WN81" s="41"/>
      <c r="WO81" s="41"/>
      <c r="WP81" s="41"/>
      <c r="WQ81" s="41"/>
      <c r="WR81" s="41"/>
      <c r="WS81" s="139"/>
      <c r="WT81" s="41"/>
      <c r="WU81" s="41"/>
      <c r="WV81" s="41"/>
      <c r="WW81" s="41"/>
      <c r="WX81" s="41"/>
      <c r="WY81" s="76"/>
      <c r="WZ81" s="41"/>
      <c r="XA81" s="41"/>
      <c r="XB81" s="41"/>
      <c r="XC81" s="41"/>
      <c r="XD81" s="41"/>
      <c r="XE81" s="139"/>
      <c r="XF81" s="41"/>
      <c r="XG81" s="41"/>
      <c r="XH81" s="41"/>
      <c r="XI81" s="41"/>
      <c r="XJ81" s="41"/>
      <c r="XK81" s="76"/>
      <c r="XL81" s="66"/>
      <c r="XM81" s="66"/>
      <c r="XN81" s="66"/>
      <c r="XO81" s="66"/>
      <c r="XP81" s="41"/>
      <c r="XQ81" s="139"/>
      <c r="XR81" s="41"/>
      <c r="XS81" s="41"/>
      <c r="XT81" s="41"/>
      <c r="XU81" s="41"/>
      <c r="XV81" s="41"/>
      <c r="XW81" s="76"/>
      <c r="XX81" s="41"/>
      <c r="XY81" s="41"/>
      <c r="XZ81" s="41"/>
      <c r="YA81" s="41"/>
      <c r="YB81" s="41"/>
      <c r="YC81" s="139"/>
      <c r="YD81" s="41"/>
      <c r="YE81" s="41"/>
      <c r="YF81" s="41"/>
      <c r="YG81" s="41"/>
      <c r="YH81" s="41"/>
      <c r="YI81" s="76"/>
      <c r="YJ81" s="41"/>
      <c r="YK81" s="41"/>
      <c r="YL81" s="41"/>
      <c r="YM81" s="41"/>
      <c r="YN81" s="41"/>
      <c r="YO81" s="42"/>
      <c r="YP81" s="40"/>
      <c r="YQ81" s="66"/>
      <c r="YR81" s="66"/>
      <c r="YS81" s="66"/>
      <c r="YT81" s="41"/>
      <c r="YU81" s="134"/>
      <c r="YV81" s="41"/>
      <c r="YW81" s="41"/>
      <c r="YX81" s="41"/>
      <c r="YY81" s="41"/>
      <c r="YZ81" s="41"/>
      <c r="ZA81" s="139"/>
      <c r="ZB81" s="41"/>
      <c r="ZC81" s="41"/>
      <c r="ZD81" s="41"/>
      <c r="ZE81" s="41"/>
      <c r="ZF81" s="41"/>
      <c r="ZG81" s="76"/>
      <c r="ZH81" s="41"/>
      <c r="ZI81" s="41"/>
      <c r="ZJ81" s="41"/>
      <c r="ZK81" s="41"/>
      <c r="ZL81" s="41"/>
      <c r="ZM81" s="139"/>
      <c r="ZN81" s="41"/>
      <c r="ZO81" s="41"/>
      <c r="ZP81" s="41"/>
      <c r="ZQ81" s="41"/>
      <c r="ZR81" s="41"/>
      <c r="ZS81" s="76"/>
      <c r="ZT81" s="66"/>
      <c r="ZU81" s="66"/>
      <c r="ZV81" s="66"/>
      <c r="ZW81" s="66"/>
      <c r="ZX81" s="41"/>
      <c r="ZY81" s="139"/>
      <c r="ZZ81" s="41"/>
      <c r="AAA81" s="41"/>
      <c r="AAB81" s="41"/>
      <c r="AAC81" s="41"/>
      <c r="AAD81" s="41"/>
      <c r="AAE81" s="76"/>
      <c r="AAF81" s="41"/>
      <c r="AAG81" s="41"/>
      <c r="AAH81" s="41"/>
      <c r="AAI81" s="41"/>
      <c r="AAJ81" s="41"/>
      <c r="AAK81" s="139"/>
      <c r="AAL81" s="41"/>
      <c r="AAM81" s="41"/>
      <c r="AAN81" s="41"/>
      <c r="AAO81" s="41"/>
      <c r="AAP81" s="41"/>
      <c r="AAQ81" s="76"/>
      <c r="AAR81" s="41"/>
      <c r="AAS81" s="41"/>
      <c r="AAT81" s="41"/>
      <c r="AAU81" s="41"/>
      <c r="AAV81" s="41"/>
      <c r="AAW81" s="42"/>
      <c r="AAX81" s="40"/>
      <c r="AAY81" s="66"/>
      <c r="AAZ81" s="66"/>
      <c r="ABA81" s="66"/>
      <c r="ABB81" s="41"/>
      <c r="ABC81" s="134"/>
      <c r="ABD81" s="41"/>
      <c r="ABE81" s="41"/>
      <c r="ABF81" s="41"/>
      <c r="ABG81" s="41"/>
      <c r="ABH81" s="41"/>
      <c r="ABI81" s="139"/>
      <c r="ABJ81" s="41"/>
      <c r="ABK81" s="41"/>
      <c r="ABL81" s="41"/>
      <c r="ABM81" s="41"/>
      <c r="ABN81" s="41"/>
      <c r="ABO81" s="76"/>
      <c r="ABP81" s="41"/>
      <c r="ABQ81" s="41"/>
      <c r="ABR81" s="41"/>
      <c r="ABS81" s="41"/>
      <c r="ABT81" s="41"/>
      <c r="ABU81" s="139"/>
      <c r="ABV81" s="41"/>
      <c r="ABW81" s="41"/>
      <c r="ABX81" s="41"/>
      <c r="ABY81" s="41"/>
      <c r="ABZ81" s="41"/>
      <c r="ACA81" s="76"/>
      <c r="ACB81" s="66"/>
      <c r="ACC81" s="66"/>
      <c r="ACD81" s="66"/>
      <c r="ACE81" s="66"/>
      <c r="ACF81" s="41"/>
      <c r="ACG81" s="139"/>
      <c r="ACH81" s="41"/>
      <c r="ACI81" s="41"/>
      <c r="ACJ81" s="41"/>
      <c r="ACK81" s="41"/>
      <c r="ACL81" s="41"/>
      <c r="ACM81" s="76"/>
      <c r="ACN81" s="41"/>
      <c r="ACO81" s="41"/>
      <c r="ACP81" s="41"/>
      <c r="ACQ81" s="41"/>
      <c r="ACR81" s="41"/>
      <c r="ACS81" s="139"/>
      <c r="ACT81" s="41"/>
      <c r="ACU81" s="41"/>
      <c r="ACV81" s="41"/>
      <c r="ACW81" s="41"/>
      <c r="ACX81" s="41"/>
      <c r="ACY81" s="76"/>
      <c r="ACZ81" s="41"/>
      <c r="ADA81" s="41"/>
      <c r="ADB81" s="41"/>
      <c r="ADC81" s="41"/>
      <c r="ADD81" s="41"/>
      <c r="ADE81" s="42"/>
      <c r="ADF81" s="40"/>
      <c r="ADG81" s="66"/>
      <c r="ADH81" s="66"/>
      <c r="ADI81" s="66"/>
      <c r="ADJ81" s="41"/>
      <c r="ADK81" s="134"/>
      <c r="ADL81" s="41"/>
      <c r="ADM81" s="41"/>
      <c r="ADN81" s="41"/>
      <c r="ADO81" s="41"/>
      <c r="ADP81" s="41"/>
      <c r="ADQ81" s="139"/>
      <c r="ADR81" s="41"/>
      <c r="ADS81" s="41"/>
      <c r="ADT81" s="41"/>
      <c r="ADU81" s="41"/>
      <c r="ADV81" s="41"/>
      <c r="ADW81" s="76"/>
      <c r="ADX81" s="41"/>
      <c r="ADY81" s="41"/>
      <c r="ADZ81" s="41"/>
      <c r="AEA81" s="41"/>
      <c r="AEB81" s="41"/>
      <c r="AEC81" s="139"/>
      <c r="AED81" s="41"/>
      <c r="AEE81" s="41"/>
      <c r="AEF81" s="41"/>
      <c r="AEG81" s="41"/>
      <c r="AEH81" s="41"/>
      <c r="AEI81" s="76"/>
      <c r="AEJ81" s="66"/>
      <c r="AEK81" s="66"/>
      <c r="AEL81" s="66"/>
      <c r="AEM81" s="66"/>
      <c r="AEN81" s="41"/>
      <c r="AEO81" s="139"/>
      <c r="AEP81" s="41"/>
      <c r="AEQ81" s="41"/>
      <c r="AER81" s="41"/>
      <c r="AES81" s="41"/>
      <c r="AET81" s="41"/>
      <c r="AEU81" s="76"/>
      <c r="AEV81" s="41"/>
      <c r="AEW81" s="41"/>
      <c r="AEX81" s="41"/>
      <c r="AEY81" s="41"/>
      <c r="AEZ81" s="41"/>
      <c r="AFA81" s="139"/>
      <c r="AFB81" s="41"/>
      <c r="AFC81" s="41"/>
      <c r="AFD81" s="41"/>
      <c r="AFE81" s="41"/>
      <c r="AFF81" s="41"/>
      <c r="AFG81" s="76"/>
      <c r="AFH81" s="41"/>
      <c r="AFI81" s="41"/>
      <c r="AFJ81" s="41"/>
      <c r="AFK81" s="41"/>
      <c r="AFL81" s="41"/>
      <c r="AFM81" s="42"/>
      <c r="AFN81" s="90"/>
    </row>
    <row r="82" spans="1:846" ht="20.100000000000001" customHeight="1" x14ac:dyDescent="0.3">
      <c r="A82" s="100" t="s">
        <v>21</v>
      </c>
      <c r="B82" s="63"/>
      <c r="C82" s="219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28"/>
      <c r="RS82" s="67"/>
      <c r="RT82" s="67"/>
      <c r="RU82" s="67"/>
      <c r="RV82" s="29"/>
      <c r="RW82" s="131"/>
      <c r="RX82" s="29"/>
      <c r="RY82" s="29"/>
      <c r="RZ82" s="29"/>
      <c r="SA82" s="29"/>
      <c r="SB82" s="29"/>
      <c r="SC82" s="136"/>
      <c r="SD82" s="29"/>
      <c r="SE82" s="29"/>
      <c r="SF82" s="29"/>
      <c r="SG82" s="29"/>
      <c r="SH82" s="29"/>
      <c r="SI82" s="73"/>
      <c r="SJ82" s="29"/>
      <c r="SK82" s="29"/>
      <c r="SL82" s="29"/>
      <c r="SM82" s="29"/>
      <c r="SN82" s="29"/>
      <c r="SO82" s="136"/>
      <c r="SP82" s="29"/>
      <c r="SQ82" s="29"/>
      <c r="SR82" s="29"/>
      <c r="SS82" s="29"/>
      <c r="ST82" s="29"/>
      <c r="SU82" s="73"/>
      <c r="SV82" s="67"/>
      <c r="SW82" s="67"/>
      <c r="SX82" s="67"/>
      <c r="SY82" s="67"/>
      <c r="SZ82" s="29"/>
      <c r="TA82" s="136"/>
      <c r="TB82" s="29"/>
      <c r="TC82" s="29"/>
      <c r="TD82" s="29"/>
      <c r="TE82" s="29"/>
      <c r="TF82" s="29"/>
      <c r="TG82" s="73"/>
      <c r="TH82" s="29"/>
      <c r="TI82" s="29"/>
      <c r="TJ82" s="29"/>
      <c r="TK82" s="29"/>
      <c r="TL82" s="29"/>
      <c r="TM82" s="136"/>
      <c r="TN82" s="29"/>
      <c r="TO82" s="29"/>
      <c r="TP82" s="29"/>
      <c r="TQ82" s="29"/>
      <c r="TR82" s="29"/>
      <c r="TS82" s="73"/>
      <c r="TT82" s="29"/>
      <c r="TU82" s="29"/>
      <c r="TV82" s="29"/>
      <c r="TW82" s="29"/>
      <c r="TX82" s="29"/>
      <c r="TY82" s="30"/>
      <c r="TZ82" s="28"/>
      <c r="UA82" s="67"/>
      <c r="UB82" s="67"/>
      <c r="UC82" s="67"/>
      <c r="UD82" s="29"/>
      <c r="UE82" s="131"/>
      <c r="UF82" s="29"/>
      <c r="UG82" s="29"/>
      <c r="UH82" s="29"/>
      <c r="UI82" s="29"/>
      <c r="UJ82" s="29"/>
      <c r="UK82" s="136"/>
      <c r="UL82" s="29"/>
      <c r="UM82" s="29"/>
      <c r="UN82" s="29"/>
      <c r="UO82" s="29"/>
      <c r="UP82" s="29"/>
      <c r="UQ82" s="73"/>
      <c r="UR82" s="29"/>
      <c r="US82" s="29"/>
      <c r="UT82" s="29"/>
      <c r="UU82" s="29"/>
      <c r="UV82" s="29"/>
      <c r="UW82" s="136"/>
      <c r="UX82" s="29"/>
      <c r="UY82" s="29"/>
      <c r="UZ82" s="29"/>
      <c r="VA82" s="29"/>
      <c r="VB82" s="29"/>
      <c r="VC82" s="73"/>
      <c r="VD82" s="67"/>
      <c r="VE82" s="67"/>
      <c r="VF82" s="67"/>
      <c r="VG82" s="67"/>
      <c r="VH82" s="29"/>
      <c r="VI82" s="136"/>
      <c r="VJ82" s="29"/>
      <c r="VK82" s="29"/>
      <c r="VL82" s="29"/>
      <c r="VM82" s="29"/>
      <c r="VN82" s="29"/>
      <c r="VO82" s="73"/>
      <c r="VP82" s="29"/>
      <c r="VQ82" s="29"/>
      <c r="VR82" s="29"/>
      <c r="VS82" s="29"/>
      <c r="VT82" s="29"/>
      <c r="VU82" s="136"/>
      <c r="VV82" s="29"/>
      <c r="VW82" s="29"/>
      <c r="VX82" s="29"/>
      <c r="VY82" s="29"/>
      <c r="VZ82" s="29"/>
      <c r="WA82" s="73"/>
      <c r="WB82" s="29"/>
      <c r="WC82" s="29"/>
      <c r="WD82" s="29"/>
      <c r="WE82" s="29"/>
      <c r="WF82" s="29"/>
      <c r="WG82" s="30"/>
      <c r="WH82" s="28"/>
      <c r="WI82" s="67"/>
      <c r="WJ82" s="67"/>
      <c r="WK82" s="67"/>
      <c r="WL82" s="29"/>
      <c r="WM82" s="131"/>
      <c r="WN82" s="29"/>
      <c r="WO82" s="29"/>
      <c r="WP82" s="29"/>
      <c r="WQ82" s="29"/>
      <c r="WR82" s="29"/>
      <c r="WS82" s="136"/>
      <c r="WT82" s="29"/>
      <c r="WU82" s="29"/>
      <c r="WV82" s="29"/>
      <c r="WW82" s="29"/>
      <c r="WX82" s="29"/>
      <c r="WY82" s="73"/>
      <c r="WZ82" s="29"/>
      <c r="XA82" s="29"/>
      <c r="XB82" s="29"/>
      <c r="XC82" s="29"/>
      <c r="XD82" s="29"/>
      <c r="XE82" s="136"/>
      <c r="XF82" s="29"/>
      <c r="XG82" s="29"/>
      <c r="XH82" s="29"/>
      <c r="XI82" s="29"/>
      <c r="XJ82" s="29"/>
      <c r="XK82" s="73"/>
      <c r="XL82" s="67"/>
      <c r="XM82" s="67"/>
      <c r="XN82" s="67"/>
      <c r="XO82" s="67"/>
      <c r="XP82" s="29"/>
      <c r="XQ82" s="136"/>
      <c r="XR82" s="29"/>
      <c r="XS82" s="29"/>
      <c r="XT82" s="29"/>
      <c r="XU82" s="29"/>
      <c r="XV82" s="29"/>
      <c r="XW82" s="73"/>
      <c r="XX82" s="29"/>
      <c r="XY82" s="29"/>
      <c r="XZ82" s="29"/>
      <c r="YA82" s="29"/>
      <c r="YB82" s="29"/>
      <c r="YC82" s="136"/>
      <c r="YD82" s="29"/>
      <c r="YE82" s="29"/>
      <c r="YF82" s="29"/>
      <c r="YG82" s="29"/>
      <c r="YH82" s="29"/>
      <c r="YI82" s="73"/>
      <c r="YJ82" s="29"/>
      <c r="YK82" s="29"/>
      <c r="YL82" s="29"/>
      <c r="YM82" s="29"/>
      <c r="YN82" s="29"/>
      <c r="YO82" s="30"/>
      <c r="YP82" s="28"/>
      <c r="YQ82" s="67"/>
      <c r="YR82" s="67"/>
      <c r="YS82" s="67"/>
      <c r="YT82" s="29"/>
      <c r="YU82" s="131"/>
      <c r="YV82" s="29"/>
      <c r="YW82" s="29"/>
      <c r="YX82" s="29"/>
      <c r="YY82" s="29"/>
      <c r="YZ82" s="29"/>
      <c r="ZA82" s="136"/>
      <c r="ZB82" s="29"/>
      <c r="ZC82" s="29"/>
      <c r="ZD82" s="29"/>
      <c r="ZE82" s="29"/>
      <c r="ZF82" s="29"/>
      <c r="ZG82" s="73"/>
      <c r="ZH82" s="29"/>
      <c r="ZI82" s="29"/>
      <c r="ZJ82" s="29"/>
      <c r="ZK82" s="29"/>
      <c r="ZL82" s="29"/>
      <c r="ZM82" s="136"/>
      <c r="ZN82" s="29"/>
      <c r="ZO82" s="29"/>
      <c r="ZP82" s="29"/>
      <c r="ZQ82" s="29"/>
      <c r="ZR82" s="29"/>
      <c r="ZS82" s="73"/>
      <c r="ZT82" s="67"/>
      <c r="ZU82" s="67"/>
      <c r="ZV82" s="67"/>
      <c r="ZW82" s="67"/>
      <c r="ZX82" s="29"/>
      <c r="ZY82" s="136"/>
      <c r="ZZ82" s="29"/>
      <c r="AAA82" s="29"/>
      <c r="AAB82" s="29"/>
      <c r="AAC82" s="29"/>
      <c r="AAD82" s="29"/>
      <c r="AAE82" s="73"/>
      <c r="AAF82" s="29"/>
      <c r="AAG82" s="29"/>
      <c r="AAH82" s="29"/>
      <c r="AAI82" s="29"/>
      <c r="AAJ82" s="29"/>
      <c r="AAK82" s="136"/>
      <c r="AAL82" s="29"/>
      <c r="AAM82" s="29"/>
      <c r="AAN82" s="29"/>
      <c r="AAO82" s="29"/>
      <c r="AAP82" s="29"/>
      <c r="AAQ82" s="73"/>
      <c r="AAR82" s="29"/>
      <c r="AAS82" s="29"/>
      <c r="AAT82" s="29"/>
      <c r="AAU82" s="29"/>
      <c r="AAV82" s="29"/>
      <c r="AAW82" s="30"/>
      <c r="AAX82" s="28"/>
      <c r="AAY82" s="67"/>
      <c r="AAZ82" s="67"/>
      <c r="ABA82" s="67"/>
      <c r="ABB82" s="29"/>
      <c r="ABC82" s="131"/>
      <c r="ABD82" s="29"/>
      <c r="ABE82" s="29"/>
      <c r="ABF82" s="29"/>
      <c r="ABG82" s="29"/>
      <c r="ABH82" s="29"/>
      <c r="ABI82" s="136"/>
      <c r="ABJ82" s="29"/>
      <c r="ABK82" s="29"/>
      <c r="ABL82" s="29"/>
      <c r="ABM82" s="29"/>
      <c r="ABN82" s="29"/>
      <c r="ABO82" s="73"/>
      <c r="ABP82" s="29"/>
      <c r="ABQ82" s="29"/>
      <c r="ABR82" s="29"/>
      <c r="ABS82" s="29"/>
      <c r="ABT82" s="29"/>
      <c r="ABU82" s="136"/>
      <c r="ABV82" s="29"/>
      <c r="ABW82" s="29"/>
      <c r="ABX82" s="29"/>
      <c r="ABY82" s="29"/>
      <c r="ABZ82" s="29"/>
      <c r="ACA82" s="73"/>
      <c r="ACB82" s="67"/>
      <c r="ACC82" s="67"/>
      <c r="ACD82" s="67"/>
      <c r="ACE82" s="67"/>
      <c r="ACF82" s="29"/>
      <c r="ACG82" s="136"/>
      <c r="ACH82" s="29"/>
      <c r="ACI82" s="29"/>
      <c r="ACJ82" s="29"/>
      <c r="ACK82" s="29"/>
      <c r="ACL82" s="29"/>
      <c r="ACM82" s="73"/>
      <c r="ACN82" s="29"/>
      <c r="ACO82" s="29"/>
      <c r="ACP82" s="29"/>
      <c r="ACQ82" s="29"/>
      <c r="ACR82" s="29"/>
      <c r="ACS82" s="136"/>
      <c r="ACT82" s="29"/>
      <c r="ACU82" s="29"/>
      <c r="ACV82" s="29"/>
      <c r="ACW82" s="29"/>
      <c r="ACX82" s="29"/>
      <c r="ACY82" s="73"/>
      <c r="ACZ82" s="29"/>
      <c r="ADA82" s="29"/>
      <c r="ADB82" s="29"/>
      <c r="ADC82" s="29"/>
      <c r="ADD82" s="29"/>
      <c r="ADE82" s="30"/>
      <c r="ADF82" s="28"/>
      <c r="ADG82" s="67"/>
      <c r="ADH82" s="67"/>
      <c r="ADI82" s="67"/>
      <c r="ADJ82" s="29"/>
      <c r="ADK82" s="131"/>
      <c r="ADL82" s="29"/>
      <c r="ADM82" s="29"/>
      <c r="ADN82" s="29"/>
      <c r="ADO82" s="29"/>
      <c r="ADP82" s="29"/>
      <c r="ADQ82" s="136"/>
      <c r="ADR82" s="29"/>
      <c r="ADS82" s="29"/>
      <c r="ADT82" s="29"/>
      <c r="ADU82" s="29"/>
      <c r="ADV82" s="29"/>
      <c r="ADW82" s="73"/>
      <c r="ADX82" s="29"/>
      <c r="ADY82" s="29"/>
      <c r="ADZ82" s="29"/>
      <c r="AEA82" s="29"/>
      <c r="AEB82" s="29"/>
      <c r="AEC82" s="136"/>
      <c r="AED82" s="29"/>
      <c r="AEE82" s="29"/>
      <c r="AEF82" s="29"/>
      <c r="AEG82" s="29"/>
      <c r="AEH82" s="29"/>
      <c r="AEI82" s="73"/>
      <c r="AEJ82" s="67"/>
      <c r="AEK82" s="67"/>
      <c r="AEL82" s="67"/>
      <c r="AEM82" s="67"/>
      <c r="AEN82" s="29"/>
      <c r="AEO82" s="136"/>
      <c r="AEP82" s="29"/>
      <c r="AEQ82" s="29"/>
      <c r="AER82" s="29"/>
      <c r="AES82" s="29"/>
      <c r="AET82" s="29"/>
      <c r="AEU82" s="73"/>
      <c r="AEV82" s="29"/>
      <c r="AEW82" s="29"/>
      <c r="AEX82" s="29"/>
      <c r="AEY82" s="29"/>
      <c r="AEZ82" s="29"/>
      <c r="AFA82" s="136"/>
      <c r="AFB82" s="29"/>
      <c r="AFC82" s="29"/>
      <c r="AFD82" s="29"/>
      <c r="AFE82" s="29"/>
      <c r="AFF82" s="29"/>
      <c r="AFG82" s="73"/>
      <c r="AFH82" s="29"/>
      <c r="AFI82" s="29"/>
      <c r="AFJ82" s="29"/>
      <c r="AFK82" s="29"/>
      <c r="AFL82" s="29"/>
      <c r="AFM82" s="30"/>
      <c r="AFN82" s="90"/>
    </row>
    <row r="83" spans="1:846" ht="20.100000000000001" customHeight="1" x14ac:dyDescent="0.25">
      <c r="A83" s="100" t="s">
        <v>20</v>
      </c>
      <c r="B83" s="63"/>
      <c r="C83" s="218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32"/>
      <c r="RS83" s="64"/>
      <c r="RT83" s="64"/>
      <c r="RU83" s="64"/>
      <c r="RV83" s="33"/>
      <c r="RW83" s="132"/>
      <c r="RX83" s="33"/>
      <c r="RY83" s="33"/>
      <c r="RZ83" s="33"/>
      <c r="SA83" s="33"/>
      <c r="SB83" s="33"/>
      <c r="SC83" s="137"/>
      <c r="SD83" s="33"/>
      <c r="SE83" s="33"/>
      <c r="SF83" s="33"/>
      <c r="SG83" s="33"/>
      <c r="SH83" s="33"/>
      <c r="SI83" s="74"/>
      <c r="SJ83" s="33"/>
      <c r="SK83" s="33"/>
      <c r="SL83" s="33"/>
      <c r="SM83" s="33"/>
      <c r="SN83" s="33"/>
      <c r="SO83" s="137"/>
      <c r="SP83" s="33"/>
      <c r="SQ83" s="33"/>
      <c r="SR83" s="33"/>
      <c r="SS83" s="33"/>
      <c r="ST83" s="33"/>
      <c r="SU83" s="74"/>
      <c r="SV83" s="64"/>
      <c r="SW83" s="64"/>
      <c r="SX83" s="64"/>
      <c r="SY83" s="64"/>
      <c r="SZ83" s="33"/>
      <c r="TA83" s="137"/>
      <c r="TB83" s="33"/>
      <c r="TC83" s="33"/>
      <c r="TD83" s="33"/>
      <c r="TE83" s="33"/>
      <c r="TF83" s="33"/>
      <c r="TG83" s="74"/>
      <c r="TH83" s="33"/>
      <c r="TI83" s="33"/>
      <c r="TJ83" s="33"/>
      <c r="TK83" s="33"/>
      <c r="TL83" s="33"/>
      <c r="TM83" s="137"/>
      <c r="TN83" s="33"/>
      <c r="TO83" s="33"/>
      <c r="TP83" s="33"/>
      <c r="TQ83" s="33"/>
      <c r="TR83" s="33"/>
      <c r="TS83" s="74"/>
      <c r="TT83" s="33"/>
      <c r="TU83" s="33"/>
      <c r="TV83" s="33"/>
      <c r="TW83" s="33"/>
      <c r="TX83" s="33"/>
      <c r="TY83" s="34"/>
      <c r="TZ83" s="32"/>
      <c r="UA83" s="64"/>
      <c r="UB83" s="64"/>
      <c r="UC83" s="64"/>
      <c r="UD83" s="33"/>
      <c r="UE83" s="132"/>
      <c r="UF83" s="33"/>
      <c r="UG83" s="33"/>
      <c r="UH83" s="33"/>
      <c r="UI83" s="33"/>
      <c r="UJ83" s="33"/>
      <c r="UK83" s="137"/>
      <c r="UL83" s="33"/>
      <c r="UM83" s="33"/>
      <c r="UN83" s="33"/>
      <c r="UO83" s="33"/>
      <c r="UP83" s="33"/>
      <c r="UQ83" s="74"/>
      <c r="UR83" s="33"/>
      <c r="US83" s="33"/>
      <c r="UT83" s="33"/>
      <c r="UU83" s="33"/>
      <c r="UV83" s="33"/>
      <c r="UW83" s="137"/>
      <c r="UX83" s="33"/>
      <c r="UY83" s="33"/>
      <c r="UZ83" s="33"/>
      <c r="VA83" s="33"/>
      <c r="VB83" s="33"/>
      <c r="VC83" s="74"/>
      <c r="VD83" s="64"/>
      <c r="VE83" s="64"/>
      <c r="VF83" s="64"/>
      <c r="VG83" s="64"/>
      <c r="VH83" s="33"/>
      <c r="VI83" s="137"/>
      <c r="VJ83" s="33"/>
      <c r="VK83" s="33"/>
      <c r="VL83" s="33"/>
      <c r="VM83" s="33"/>
      <c r="VN83" s="33"/>
      <c r="VO83" s="74"/>
      <c r="VP83" s="33"/>
      <c r="VQ83" s="33"/>
      <c r="VR83" s="33"/>
      <c r="VS83" s="33"/>
      <c r="VT83" s="33"/>
      <c r="VU83" s="137"/>
      <c r="VV83" s="33"/>
      <c r="VW83" s="33"/>
      <c r="VX83" s="33"/>
      <c r="VY83" s="33"/>
      <c r="VZ83" s="33"/>
      <c r="WA83" s="74"/>
      <c r="WB83" s="33"/>
      <c r="WC83" s="33"/>
      <c r="WD83" s="33"/>
      <c r="WE83" s="33"/>
      <c r="WF83" s="33"/>
      <c r="WG83" s="34"/>
      <c r="WH83" s="32"/>
      <c r="WI83" s="64"/>
      <c r="WJ83" s="64"/>
      <c r="WK83" s="64"/>
      <c r="WL83" s="33"/>
      <c r="WM83" s="132"/>
      <c r="WN83" s="33"/>
      <c r="WO83" s="33"/>
      <c r="WP83" s="33"/>
      <c r="WQ83" s="33"/>
      <c r="WR83" s="33"/>
      <c r="WS83" s="137"/>
      <c r="WT83" s="33"/>
      <c r="WU83" s="33"/>
      <c r="WV83" s="33"/>
      <c r="WW83" s="33"/>
      <c r="WX83" s="33"/>
      <c r="WY83" s="74"/>
      <c r="WZ83" s="33"/>
      <c r="XA83" s="33"/>
      <c r="XB83" s="33"/>
      <c r="XC83" s="33"/>
      <c r="XD83" s="33"/>
      <c r="XE83" s="137"/>
      <c r="XF83" s="33"/>
      <c r="XG83" s="33"/>
      <c r="XH83" s="33"/>
      <c r="XI83" s="33"/>
      <c r="XJ83" s="33"/>
      <c r="XK83" s="74"/>
      <c r="XL83" s="64"/>
      <c r="XM83" s="64"/>
      <c r="XN83" s="64"/>
      <c r="XO83" s="64"/>
      <c r="XP83" s="33"/>
      <c r="XQ83" s="137"/>
      <c r="XR83" s="33"/>
      <c r="XS83" s="33"/>
      <c r="XT83" s="33"/>
      <c r="XU83" s="33"/>
      <c r="XV83" s="33"/>
      <c r="XW83" s="74"/>
      <c r="XX83" s="33"/>
      <c r="XY83" s="33"/>
      <c r="XZ83" s="33"/>
      <c r="YA83" s="33"/>
      <c r="YB83" s="33"/>
      <c r="YC83" s="137"/>
      <c r="YD83" s="33"/>
      <c r="YE83" s="33"/>
      <c r="YF83" s="33"/>
      <c r="YG83" s="33"/>
      <c r="YH83" s="33"/>
      <c r="YI83" s="74"/>
      <c r="YJ83" s="33"/>
      <c r="YK83" s="33"/>
      <c r="YL83" s="33"/>
      <c r="YM83" s="33"/>
      <c r="YN83" s="33"/>
      <c r="YO83" s="34"/>
      <c r="YP83" s="32"/>
      <c r="YQ83" s="64"/>
      <c r="YR83" s="64"/>
      <c r="YS83" s="64"/>
      <c r="YT83" s="33"/>
      <c r="YU83" s="132"/>
      <c r="YV83" s="33"/>
      <c r="YW83" s="33"/>
      <c r="YX83" s="33"/>
      <c r="YY83" s="33"/>
      <c r="YZ83" s="33"/>
      <c r="ZA83" s="137"/>
      <c r="ZB83" s="33"/>
      <c r="ZC83" s="33"/>
      <c r="ZD83" s="33"/>
      <c r="ZE83" s="33"/>
      <c r="ZF83" s="33"/>
      <c r="ZG83" s="74"/>
      <c r="ZH83" s="33"/>
      <c r="ZI83" s="33"/>
      <c r="ZJ83" s="33"/>
      <c r="ZK83" s="33"/>
      <c r="ZL83" s="33"/>
      <c r="ZM83" s="137"/>
      <c r="ZN83" s="33"/>
      <c r="ZO83" s="33"/>
      <c r="ZP83" s="33"/>
      <c r="ZQ83" s="33"/>
      <c r="ZR83" s="33"/>
      <c r="ZS83" s="74"/>
      <c r="ZT83" s="64"/>
      <c r="ZU83" s="64"/>
      <c r="ZV83" s="64"/>
      <c r="ZW83" s="64"/>
      <c r="ZX83" s="33"/>
      <c r="ZY83" s="137"/>
      <c r="ZZ83" s="33"/>
      <c r="AAA83" s="33"/>
      <c r="AAB83" s="33"/>
      <c r="AAC83" s="33"/>
      <c r="AAD83" s="33"/>
      <c r="AAE83" s="74"/>
      <c r="AAF83" s="33"/>
      <c r="AAG83" s="33"/>
      <c r="AAH83" s="33"/>
      <c r="AAI83" s="33"/>
      <c r="AAJ83" s="33"/>
      <c r="AAK83" s="137"/>
      <c r="AAL83" s="33"/>
      <c r="AAM83" s="33"/>
      <c r="AAN83" s="33"/>
      <c r="AAO83" s="33"/>
      <c r="AAP83" s="33"/>
      <c r="AAQ83" s="74"/>
      <c r="AAR83" s="33"/>
      <c r="AAS83" s="33"/>
      <c r="AAT83" s="33"/>
      <c r="AAU83" s="33"/>
      <c r="AAV83" s="33"/>
      <c r="AAW83" s="34"/>
      <c r="AAX83" s="32"/>
      <c r="AAY83" s="64"/>
      <c r="AAZ83" s="64"/>
      <c r="ABA83" s="64"/>
      <c r="ABB83" s="33"/>
      <c r="ABC83" s="132"/>
      <c r="ABD83" s="33"/>
      <c r="ABE83" s="33"/>
      <c r="ABF83" s="33"/>
      <c r="ABG83" s="33"/>
      <c r="ABH83" s="33"/>
      <c r="ABI83" s="137"/>
      <c r="ABJ83" s="33"/>
      <c r="ABK83" s="33"/>
      <c r="ABL83" s="33"/>
      <c r="ABM83" s="33"/>
      <c r="ABN83" s="33"/>
      <c r="ABO83" s="74"/>
      <c r="ABP83" s="33"/>
      <c r="ABQ83" s="33"/>
      <c r="ABR83" s="33"/>
      <c r="ABS83" s="33"/>
      <c r="ABT83" s="33"/>
      <c r="ABU83" s="137"/>
      <c r="ABV83" s="33"/>
      <c r="ABW83" s="33"/>
      <c r="ABX83" s="33"/>
      <c r="ABY83" s="33"/>
      <c r="ABZ83" s="33"/>
      <c r="ACA83" s="74"/>
      <c r="ACB83" s="64"/>
      <c r="ACC83" s="64"/>
      <c r="ACD83" s="64"/>
      <c r="ACE83" s="64"/>
      <c r="ACF83" s="33"/>
      <c r="ACG83" s="137"/>
      <c r="ACH83" s="33"/>
      <c r="ACI83" s="33"/>
      <c r="ACJ83" s="33"/>
      <c r="ACK83" s="33"/>
      <c r="ACL83" s="33"/>
      <c r="ACM83" s="74"/>
      <c r="ACN83" s="33"/>
      <c r="ACO83" s="33"/>
      <c r="ACP83" s="33"/>
      <c r="ACQ83" s="33"/>
      <c r="ACR83" s="33"/>
      <c r="ACS83" s="137"/>
      <c r="ACT83" s="33"/>
      <c r="ACU83" s="33"/>
      <c r="ACV83" s="33"/>
      <c r="ACW83" s="33"/>
      <c r="ACX83" s="33"/>
      <c r="ACY83" s="74"/>
      <c r="ACZ83" s="33"/>
      <c r="ADA83" s="33"/>
      <c r="ADB83" s="33"/>
      <c r="ADC83" s="33"/>
      <c r="ADD83" s="33"/>
      <c r="ADE83" s="34"/>
      <c r="ADF83" s="32"/>
      <c r="ADG83" s="64"/>
      <c r="ADH83" s="64"/>
      <c r="ADI83" s="64"/>
      <c r="ADJ83" s="33"/>
      <c r="ADK83" s="132"/>
      <c r="ADL83" s="33"/>
      <c r="ADM83" s="33"/>
      <c r="ADN83" s="33"/>
      <c r="ADO83" s="33"/>
      <c r="ADP83" s="33"/>
      <c r="ADQ83" s="137"/>
      <c r="ADR83" s="33"/>
      <c r="ADS83" s="33"/>
      <c r="ADT83" s="33"/>
      <c r="ADU83" s="33"/>
      <c r="ADV83" s="33"/>
      <c r="ADW83" s="74"/>
      <c r="ADX83" s="33"/>
      <c r="ADY83" s="33"/>
      <c r="ADZ83" s="33"/>
      <c r="AEA83" s="33"/>
      <c r="AEB83" s="33"/>
      <c r="AEC83" s="137"/>
      <c r="AED83" s="33"/>
      <c r="AEE83" s="33"/>
      <c r="AEF83" s="33"/>
      <c r="AEG83" s="33"/>
      <c r="AEH83" s="33"/>
      <c r="AEI83" s="74"/>
      <c r="AEJ83" s="64"/>
      <c r="AEK83" s="64"/>
      <c r="AEL83" s="64"/>
      <c r="AEM83" s="64"/>
      <c r="AEN83" s="33"/>
      <c r="AEO83" s="137"/>
      <c r="AEP83" s="33"/>
      <c r="AEQ83" s="33"/>
      <c r="AER83" s="33"/>
      <c r="AES83" s="33"/>
      <c r="AET83" s="33"/>
      <c r="AEU83" s="74"/>
      <c r="AEV83" s="33"/>
      <c r="AEW83" s="33"/>
      <c r="AEX83" s="33"/>
      <c r="AEY83" s="33"/>
      <c r="AEZ83" s="33"/>
      <c r="AFA83" s="137"/>
      <c r="AFB83" s="33"/>
      <c r="AFC83" s="33"/>
      <c r="AFD83" s="33"/>
      <c r="AFE83" s="33"/>
      <c r="AFF83" s="33"/>
      <c r="AFG83" s="74"/>
      <c r="AFH83" s="33"/>
      <c r="AFI83" s="33"/>
      <c r="AFJ83" s="33"/>
      <c r="AFK83" s="33"/>
      <c r="AFL83" s="33"/>
      <c r="AFM83" s="34"/>
      <c r="AFN83" s="90"/>
    </row>
    <row r="84" spans="1:846" ht="20.100000000000001" customHeight="1" x14ac:dyDescent="0.25">
      <c r="A84" s="100" t="s">
        <v>21</v>
      </c>
      <c r="B84" s="63"/>
      <c r="C84" s="220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36"/>
      <c r="RS84" s="65"/>
      <c r="RT84" s="65"/>
      <c r="RU84" s="65"/>
      <c r="RV84" s="37"/>
      <c r="RW84" s="133"/>
      <c r="RX84" s="37"/>
      <c r="RY84" s="37"/>
      <c r="RZ84" s="37"/>
      <c r="SA84" s="37"/>
      <c r="SB84" s="37"/>
      <c r="SC84" s="138"/>
      <c r="SD84" s="37"/>
      <c r="SE84" s="37"/>
      <c r="SF84" s="37"/>
      <c r="SG84" s="37"/>
      <c r="SH84" s="37"/>
      <c r="SI84" s="75"/>
      <c r="SJ84" s="37"/>
      <c r="SK84" s="37"/>
      <c r="SL84" s="37"/>
      <c r="SM84" s="37"/>
      <c r="SN84" s="37"/>
      <c r="SO84" s="138"/>
      <c r="SP84" s="37"/>
      <c r="SQ84" s="37"/>
      <c r="SR84" s="37"/>
      <c r="SS84" s="37"/>
      <c r="ST84" s="37"/>
      <c r="SU84" s="75"/>
      <c r="SV84" s="65"/>
      <c r="SW84" s="65"/>
      <c r="SX84" s="65"/>
      <c r="SY84" s="65"/>
      <c r="SZ84" s="37"/>
      <c r="TA84" s="138"/>
      <c r="TB84" s="37"/>
      <c r="TC84" s="37"/>
      <c r="TD84" s="37"/>
      <c r="TE84" s="37"/>
      <c r="TF84" s="37"/>
      <c r="TG84" s="75"/>
      <c r="TH84" s="37"/>
      <c r="TI84" s="37"/>
      <c r="TJ84" s="37"/>
      <c r="TK84" s="37"/>
      <c r="TL84" s="37"/>
      <c r="TM84" s="138"/>
      <c r="TN84" s="37"/>
      <c r="TO84" s="37"/>
      <c r="TP84" s="37"/>
      <c r="TQ84" s="37"/>
      <c r="TR84" s="37"/>
      <c r="TS84" s="75"/>
      <c r="TT84" s="37"/>
      <c r="TU84" s="37"/>
      <c r="TV84" s="37"/>
      <c r="TW84" s="37"/>
      <c r="TX84" s="37"/>
      <c r="TY84" s="38"/>
      <c r="TZ84" s="36"/>
      <c r="UA84" s="65"/>
      <c r="UB84" s="65"/>
      <c r="UC84" s="65"/>
      <c r="UD84" s="37"/>
      <c r="UE84" s="133"/>
      <c r="UF84" s="37"/>
      <c r="UG84" s="37"/>
      <c r="UH84" s="37"/>
      <c r="UI84" s="37"/>
      <c r="UJ84" s="37"/>
      <c r="UK84" s="138"/>
      <c r="UL84" s="37"/>
      <c r="UM84" s="37"/>
      <c r="UN84" s="37"/>
      <c r="UO84" s="37"/>
      <c r="UP84" s="37"/>
      <c r="UQ84" s="75"/>
      <c r="UR84" s="37"/>
      <c r="US84" s="37"/>
      <c r="UT84" s="37"/>
      <c r="UU84" s="37"/>
      <c r="UV84" s="37"/>
      <c r="UW84" s="138"/>
      <c r="UX84" s="37"/>
      <c r="UY84" s="37"/>
      <c r="UZ84" s="37"/>
      <c r="VA84" s="37"/>
      <c r="VB84" s="37"/>
      <c r="VC84" s="75"/>
      <c r="VD84" s="65"/>
      <c r="VE84" s="65"/>
      <c r="VF84" s="65"/>
      <c r="VG84" s="65"/>
      <c r="VH84" s="37"/>
      <c r="VI84" s="138"/>
      <c r="VJ84" s="37"/>
      <c r="VK84" s="37"/>
      <c r="VL84" s="37"/>
      <c r="VM84" s="37"/>
      <c r="VN84" s="37"/>
      <c r="VO84" s="75"/>
      <c r="VP84" s="37"/>
      <c r="VQ84" s="37"/>
      <c r="VR84" s="37"/>
      <c r="VS84" s="37"/>
      <c r="VT84" s="37"/>
      <c r="VU84" s="138"/>
      <c r="VV84" s="37"/>
      <c r="VW84" s="37"/>
      <c r="VX84" s="37"/>
      <c r="VY84" s="37"/>
      <c r="VZ84" s="37"/>
      <c r="WA84" s="75"/>
      <c r="WB84" s="37"/>
      <c r="WC84" s="37"/>
      <c r="WD84" s="37"/>
      <c r="WE84" s="37"/>
      <c r="WF84" s="37"/>
      <c r="WG84" s="38"/>
      <c r="WH84" s="36"/>
      <c r="WI84" s="65"/>
      <c r="WJ84" s="65"/>
      <c r="WK84" s="65"/>
      <c r="WL84" s="37"/>
      <c r="WM84" s="133"/>
      <c r="WN84" s="37"/>
      <c r="WO84" s="37"/>
      <c r="WP84" s="37"/>
      <c r="WQ84" s="37"/>
      <c r="WR84" s="37"/>
      <c r="WS84" s="138"/>
      <c r="WT84" s="37"/>
      <c r="WU84" s="37"/>
      <c r="WV84" s="37"/>
      <c r="WW84" s="37"/>
      <c r="WX84" s="37"/>
      <c r="WY84" s="75"/>
      <c r="WZ84" s="37"/>
      <c r="XA84" s="37"/>
      <c r="XB84" s="37"/>
      <c r="XC84" s="37"/>
      <c r="XD84" s="37"/>
      <c r="XE84" s="138"/>
      <c r="XF84" s="37"/>
      <c r="XG84" s="37"/>
      <c r="XH84" s="37"/>
      <c r="XI84" s="37"/>
      <c r="XJ84" s="37"/>
      <c r="XK84" s="75"/>
      <c r="XL84" s="65"/>
      <c r="XM84" s="65"/>
      <c r="XN84" s="65"/>
      <c r="XO84" s="65"/>
      <c r="XP84" s="37"/>
      <c r="XQ84" s="138"/>
      <c r="XR84" s="37"/>
      <c r="XS84" s="37"/>
      <c r="XT84" s="37"/>
      <c r="XU84" s="37"/>
      <c r="XV84" s="37"/>
      <c r="XW84" s="75"/>
      <c r="XX84" s="37"/>
      <c r="XY84" s="37"/>
      <c r="XZ84" s="37"/>
      <c r="YA84" s="37"/>
      <c r="YB84" s="37"/>
      <c r="YC84" s="138"/>
      <c r="YD84" s="37"/>
      <c r="YE84" s="37"/>
      <c r="YF84" s="37"/>
      <c r="YG84" s="37"/>
      <c r="YH84" s="37"/>
      <c r="YI84" s="75"/>
      <c r="YJ84" s="37"/>
      <c r="YK84" s="37"/>
      <c r="YL84" s="37"/>
      <c r="YM84" s="37"/>
      <c r="YN84" s="37"/>
      <c r="YO84" s="38"/>
      <c r="YP84" s="36"/>
      <c r="YQ84" s="65"/>
      <c r="YR84" s="65"/>
      <c r="YS84" s="65"/>
      <c r="YT84" s="37"/>
      <c r="YU84" s="133"/>
      <c r="YV84" s="37"/>
      <c r="YW84" s="37"/>
      <c r="YX84" s="37"/>
      <c r="YY84" s="37"/>
      <c r="YZ84" s="37"/>
      <c r="ZA84" s="138"/>
      <c r="ZB84" s="37"/>
      <c r="ZC84" s="37"/>
      <c r="ZD84" s="37"/>
      <c r="ZE84" s="37"/>
      <c r="ZF84" s="37"/>
      <c r="ZG84" s="75"/>
      <c r="ZH84" s="37"/>
      <c r="ZI84" s="37"/>
      <c r="ZJ84" s="37"/>
      <c r="ZK84" s="37"/>
      <c r="ZL84" s="37"/>
      <c r="ZM84" s="138"/>
      <c r="ZN84" s="37"/>
      <c r="ZO84" s="37"/>
      <c r="ZP84" s="37"/>
      <c r="ZQ84" s="37"/>
      <c r="ZR84" s="37"/>
      <c r="ZS84" s="75"/>
      <c r="ZT84" s="65"/>
      <c r="ZU84" s="65"/>
      <c r="ZV84" s="65"/>
      <c r="ZW84" s="65"/>
      <c r="ZX84" s="37"/>
      <c r="ZY84" s="138"/>
      <c r="ZZ84" s="37"/>
      <c r="AAA84" s="37"/>
      <c r="AAB84" s="37"/>
      <c r="AAC84" s="37"/>
      <c r="AAD84" s="37"/>
      <c r="AAE84" s="75"/>
      <c r="AAF84" s="37"/>
      <c r="AAG84" s="37"/>
      <c r="AAH84" s="37"/>
      <c r="AAI84" s="37"/>
      <c r="AAJ84" s="37"/>
      <c r="AAK84" s="138"/>
      <c r="AAL84" s="37"/>
      <c r="AAM84" s="37"/>
      <c r="AAN84" s="37"/>
      <c r="AAO84" s="37"/>
      <c r="AAP84" s="37"/>
      <c r="AAQ84" s="75"/>
      <c r="AAR84" s="37"/>
      <c r="AAS84" s="37"/>
      <c r="AAT84" s="37"/>
      <c r="AAU84" s="37"/>
      <c r="AAV84" s="37"/>
      <c r="AAW84" s="38"/>
      <c r="AAX84" s="36"/>
      <c r="AAY84" s="65"/>
      <c r="AAZ84" s="65"/>
      <c r="ABA84" s="65"/>
      <c r="ABB84" s="37"/>
      <c r="ABC84" s="133"/>
      <c r="ABD84" s="37"/>
      <c r="ABE84" s="37"/>
      <c r="ABF84" s="37"/>
      <c r="ABG84" s="37"/>
      <c r="ABH84" s="37"/>
      <c r="ABI84" s="138"/>
      <c r="ABJ84" s="37"/>
      <c r="ABK84" s="37"/>
      <c r="ABL84" s="37"/>
      <c r="ABM84" s="37"/>
      <c r="ABN84" s="37"/>
      <c r="ABO84" s="75"/>
      <c r="ABP84" s="37"/>
      <c r="ABQ84" s="37"/>
      <c r="ABR84" s="37"/>
      <c r="ABS84" s="37"/>
      <c r="ABT84" s="37"/>
      <c r="ABU84" s="138"/>
      <c r="ABV84" s="37"/>
      <c r="ABW84" s="37"/>
      <c r="ABX84" s="37"/>
      <c r="ABY84" s="37"/>
      <c r="ABZ84" s="37"/>
      <c r="ACA84" s="75"/>
      <c r="ACB84" s="65"/>
      <c r="ACC84" s="65"/>
      <c r="ACD84" s="65"/>
      <c r="ACE84" s="65"/>
      <c r="ACF84" s="37"/>
      <c r="ACG84" s="138"/>
      <c r="ACH84" s="37"/>
      <c r="ACI84" s="37"/>
      <c r="ACJ84" s="37"/>
      <c r="ACK84" s="37"/>
      <c r="ACL84" s="37"/>
      <c r="ACM84" s="75"/>
      <c r="ACN84" s="37"/>
      <c r="ACO84" s="37"/>
      <c r="ACP84" s="37"/>
      <c r="ACQ84" s="37"/>
      <c r="ACR84" s="37"/>
      <c r="ACS84" s="138"/>
      <c r="ACT84" s="37"/>
      <c r="ACU84" s="37"/>
      <c r="ACV84" s="37"/>
      <c r="ACW84" s="37"/>
      <c r="ACX84" s="37"/>
      <c r="ACY84" s="75"/>
      <c r="ACZ84" s="37"/>
      <c r="ADA84" s="37"/>
      <c r="ADB84" s="37"/>
      <c r="ADC84" s="37"/>
      <c r="ADD84" s="37"/>
      <c r="ADE84" s="38"/>
      <c r="ADF84" s="36"/>
      <c r="ADG84" s="65"/>
      <c r="ADH84" s="65"/>
      <c r="ADI84" s="65"/>
      <c r="ADJ84" s="37"/>
      <c r="ADK84" s="133"/>
      <c r="ADL84" s="37"/>
      <c r="ADM84" s="37"/>
      <c r="ADN84" s="37"/>
      <c r="ADO84" s="37"/>
      <c r="ADP84" s="37"/>
      <c r="ADQ84" s="138"/>
      <c r="ADR84" s="37"/>
      <c r="ADS84" s="37"/>
      <c r="ADT84" s="37"/>
      <c r="ADU84" s="37"/>
      <c r="ADV84" s="37"/>
      <c r="ADW84" s="75"/>
      <c r="ADX84" s="37"/>
      <c r="ADY84" s="37"/>
      <c r="ADZ84" s="37"/>
      <c r="AEA84" s="37"/>
      <c r="AEB84" s="37"/>
      <c r="AEC84" s="138"/>
      <c r="AED84" s="37"/>
      <c r="AEE84" s="37"/>
      <c r="AEF84" s="37"/>
      <c r="AEG84" s="37"/>
      <c r="AEH84" s="37"/>
      <c r="AEI84" s="75"/>
      <c r="AEJ84" s="65"/>
      <c r="AEK84" s="65"/>
      <c r="AEL84" s="65"/>
      <c r="AEM84" s="65"/>
      <c r="AEN84" s="37"/>
      <c r="AEO84" s="138"/>
      <c r="AEP84" s="37"/>
      <c r="AEQ84" s="37"/>
      <c r="AER84" s="37"/>
      <c r="AES84" s="37"/>
      <c r="AET84" s="37"/>
      <c r="AEU84" s="75"/>
      <c r="AEV84" s="37"/>
      <c r="AEW84" s="37"/>
      <c r="AEX84" s="37"/>
      <c r="AEY84" s="37"/>
      <c r="AEZ84" s="37"/>
      <c r="AFA84" s="138"/>
      <c r="AFB84" s="37"/>
      <c r="AFC84" s="37"/>
      <c r="AFD84" s="37"/>
      <c r="AFE84" s="37"/>
      <c r="AFF84" s="37"/>
      <c r="AFG84" s="75"/>
      <c r="AFH84" s="37"/>
      <c r="AFI84" s="37"/>
      <c r="AFJ84" s="37"/>
      <c r="AFK84" s="37"/>
      <c r="AFL84" s="37"/>
      <c r="AFM84" s="38"/>
      <c r="AFN84" s="90"/>
    </row>
    <row r="85" spans="1:846" ht="20.100000000000001" customHeight="1" x14ac:dyDescent="0.25">
      <c r="A85" s="100" t="s">
        <v>20</v>
      </c>
      <c r="B85" s="63"/>
      <c r="C85" s="218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40"/>
      <c r="RS85" s="66"/>
      <c r="RT85" s="66"/>
      <c r="RU85" s="66"/>
      <c r="RV85" s="41"/>
      <c r="RW85" s="134"/>
      <c r="RX85" s="41"/>
      <c r="RY85" s="41"/>
      <c r="RZ85" s="41"/>
      <c r="SA85" s="41"/>
      <c r="SB85" s="41"/>
      <c r="SC85" s="139"/>
      <c r="SD85" s="41"/>
      <c r="SE85" s="41"/>
      <c r="SF85" s="41"/>
      <c r="SG85" s="41"/>
      <c r="SH85" s="41"/>
      <c r="SI85" s="76"/>
      <c r="SJ85" s="41"/>
      <c r="SK85" s="41"/>
      <c r="SL85" s="41"/>
      <c r="SM85" s="41"/>
      <c r="SN85" s="41"/>
      <c r="SO85" s="139"/>
      <c r="SP85" s="41"/>
      <c r="SQ85" s="41"/>
      <c r="SR85" s="41"/>
      <c r="SS85" s="41"/>
      <c r="ST85" s="41"/>
      <c r="SU85" s="76"/>
      <c r="SV85" s="66"/>
      <c r="SW85" s="66"/>
      <c r="SX85" s="66"/>
      <c r="SY85" s="66"/>
      <c r="SZ85" s="41"/>
      <c r="TA85" s="139"/>
      <c r="TB85" s="41"/>
      <c r="TC85" s="41"/>
      <c r="TD85" s="41"/>
      <c r="TE85" s="41"/>
      <c r="TF85" s="41"/>
      <c r="TG85" s="76"/>
      <c r="TH85" s="41"/>
      <c r="TI85" s="41"/>
      <c r="TJ85" s="41"/>
      <c r="TK85" s="41"/>
      <c r="TL85" s="41"/>
      <c r="TM85" s="139"/>
      <c r="TN85" s="41"/>
      <c r="TO85" s="41"/>
      <c r="TP85" s="41"/>
      <c r="TQ85" s="41"/>
      <c r="TR85" s="41"/>
      <c r="TS85" s="76"/>
      <c r="TT85" s="41"/>
      <c r="TU85" s="41"/>
      <c r="TV85" s="41"/>
      <c r="TW85" s="41"/>
      <c r="TX85" s="41"/>
      <c r="TY85" s="42"/>
      <c r="TZ85" s="40"/>
      <c r="UA85" s="66"/>
      <c r="UB85" s="66"/>
      <c r="UC85" s="66"/>
      <c r="UD85" s="41"/>
      <c r="UE85" s="134"/>
      <c r="UF85" s="41"/>
      <c r="UG85" s="41"/>
      <c r="UH85" s="41"/>
      <c r="UI85" s="41"/>
      <c r="UJ85" s="41"/>
      <c r="UK85" s="139"/>
      <c r="UL85" s="41"/>
      <c r="UM85" s="41"/>
      <c r="UN85" s="41"/>
      <c r="UO85" s="41"/>
      <c r="UP85" s="41"/>
      <c r="UQ85" s="76"/>
      <c r="UR85" s="41"/>
      <c r="US85" s="41"/>
      <c r="UT85" s="41"/>
      <c r="UU85" s="41"/>
      <c r="UV85" s="41"/>
      <c r="UW85" s="139"/>
      <c r="UX85" s="41"/>
      <c r="UY85" s="41"/>
      <c r="UZ85" s="41"/>
      <c r="VA85" s="41"/>
      <c r="VB85" s="41"/>
      <c r="VC85" s="76"/>
      <c r="VD85" s="66"/>
      <c r="VE85" s="66"/>
      <c r="VF85" s="66"/>
      <c r="VG85" s="66"/>
      <c r="VH85" s="41"/>
      <c r="VI85" s="139"/>
      <c r="VJ85" s="41"/>
      <c r="VK85" s="41"/>
      <c r="VL85" s="41"/>
      <c r="VM85" s="41"/>
      <c r="VN85" s="41"/>
      <c r="VO85" s="76"/>
      <c r="VP85" s="41"/>
      <c r="VQ85" s="41"/>
      <c r="VR85" s="41"/>
      <c r="VS85" s="41"/>
      <c r="VT85" s="41"/>
      <c r="VU85" s="139"/>
      <c r="VV85" s="41"/>
      <c r="VW85" s="41"/>
      <c r="VX85" s="41"/>
      <c r="VY85" s="41"/>
      <c r="VZ85" s="41"/>
      <c r="WA85" s="76"/>
      <c r="WB85" s="41"/>
      <c r="WC85" s="41"/>
      <c r="WD85" s="41"/>
      <c r="WE85" s="41"/>
      <c r="WF85" s="41"/>
      <c r="WG85" s="42"/>
      <c r="WH85" s="40"/>
      <c r="WI85" s="66"/>
      <c r="WJ85" s="66"/>
      <c r="WK85" s="66"/>
      <c r="WL85" s="41"/>
      <c r="WM85" s="134"/>
      <c r="WN85" s="41"/>
      <c r="WO85" s="41"/>
      <c r="WP85" s="41"/>
      <c r="WQ85" s="41"/>
      <c r="WR85" s="41"/>
      <c r="WS85" s="139"/>
      <c r="WT85" s="41"/>
      <c r="WU85" s="41"/>
      <c r="WV85" s="41"/>
      <c r="WW85" s="41"/>
      <c r="WX85" s="41"/>
      <c r="WY85" s="76"/>
      <c r="WZ85" s="41"/>
      <c r="XA85" s="41"/>
      <c r="XB85" s="41"/>
      <c r="XC85" s="41"/>
      <c r="XD85" s="41"/>
      <c r="XE85" s="139"/>
      <c r="XF85" s="41"/>
      <c r="XG85" s="41"/>
      <c r="XH85" s="41"/>
      <c r="XI85" s="41"/>
      <c r="XJ85" s="41"/>
      <c r="XK85" s="76"/>
      <c r="XL85" s="66"/>
      <c r="XM85" s="66"/>
      <c r="XN85" s="66"/>
      <c r="XO85" s="66"/>
      <c r="XP85" s="41"/>
      <c r="XQ85" s="139"/>
      <c r="XR85" s="41"/>
      <c r="XS85" s="41"/>
      <c r="XT85" s="41"/>
      <c r="XU85" s="41"/>
      <c r="XV85" s="41"/>
      <c r="XW85" s="76"/>
      <c r="XX85" s="41"/>
      <c r="XY85" s="41"/>
      <c r="XZ85" s="41"/>
      <c r="YA85" s="41"/>
      <c r="YB85" s="41"/>
      <c r="YC85" s="139"/>
      <c r="YD85" s="41"/>
      <c r="YE85" s="41"/>
      <c r="YF85" s="41"/>
      <c r="YG85" s="41"/>
      <c r="YH85" s="41"/>
      <c r="YI85" s="76"/>
      <c r="YJ85" s="41"/>
      <c r="YK85" s="41"/>
      <c r="YL85" s="41"/>
      <c r="YM85" s="41"/>
      <c r="YN85" s="41"/>
      <c r="YO85" s="42"/>
      <c r="YP85" s="40"/>
      <c r="YQ85" s="66"/>
      <c r="YR85" s="66"/>
      <c r="YS85" s="66"/>
      <c r="YT85" s="41"/>
      <c r="YU85" s="134"/>
      <c r="YV85" s="41"/>
      <c r="YW85" s="41"/>
      <c r="YX85" s="41"/>
      <c r="YY85" s="41"/>
      <c r="YZ85" s="41"/>
      <c r="ZA85" s="139"/>
      <c r="ZB85" s="41"/>
      <c r="ZC85" s="41"/>
      <c r="ZD85" s="41"/>
      <c r="ZE85" s="41"/>
      <c r="ZF85" s="41"/>
      <c r="ZG85" s="76"/>
      <c r="ZH85" s="41"/>
      <c r="ZI85" s="41"/>
      <c r="ZJ85" s="41"/>
      <c r="ZK85" s="41"/>
      <c r="ZL85" s="41"/>
      <c r="ZM85" s="139"/>
      <c r="ZN85" s="41"/>
      <c r="ZO85" s="41"/>
      <c r="ZP85" s="41"/>
      <c r="ZQ85" s="41"/>
      <c r="ZR85" s="41"/>
      <c r="ZS85" s="76"/>
      <c r="ZT85" s="66"/>
      <c r="ZU85" s="66"/>
      <c r="ZV85" s="66"/>
      <c r="ZW85" s="66"/>
      <c r="ZX85" s="41"/>
      <c r="ZY85" s="139"/>
      <c r="ZZ85" s="41"/>
      <c r="AAA85" s="41"/>
      <c r="AAB85" s="41"/>
      <c r="AAC85" s="41"/>
      <c r="AAD85" s="41"/>
      <c r="AAE85" s="76"/>
      <c r="AAF85" s="41"/>
      <c r="AAG85" s="41"/>
      <c r="AAH85" s="41"/>
      <c r="AAI85" s="41"/>
      <c r="AAJ85" s="41"/>
      <c r="AAK85" s="139"/>
      <c r="AAL85" s="41"/>
      <c r="AAM85" s="41"/>
      <c r="AAN85" s="41"/>
      <c r="AAO85" s="41"/>
      <c r="AAP85" s="41"/>
      <c r="AAQ85" s="76"/>
      <c r="AAR85" s="41"/>
      <c r="AAS85" s="41"/>
      <c r="AAT85" s="41"/>
      <c r="AAU85" s="41"/>
      <c r="AAV85" s="41"/>
      <c r="AAW85" s="42"/>
      <c r="AAX85" s="40"/>
      <c r="AAY85" s="66"/>
      <c r="AAZ85" s="66"/>
      <c r="ABA85" s="66"/>
      <c r="ABB85" s="41"/>
      <c r="ABC85" s="134"/>
      <c r="ABD85" s="41"/>
      <c r="ABE85" s="41"/>
      <c r="ABF85" s="41"/>
      <c r="ABG85" s="41"/>
      <c r="ABH85" s="41"/>
      <c r="ABI85" s="139"/>
      <c r="ABJ85" s="41"/>
      <c r="ABK85" s="41"/>
      <c r="ABL85" s="41"/>
      <c r="ABM85" s="41"/>
      <c r="ABN85" s="41"/>
      <c r="ABO85" s="76"/>
      <c r="ABP85" s="41"/>
      <c r="ABQ85" s="41"/>
      <c r="ABR85" s="41"/>
      <c r="ABS85" s="41"/>
      <c r="ABT85" s="41"/>
      <c r="ABU85" s="139"/>
      <c r="ABV85" s="41"/>
      <c r="ABW85" s="41"/>
      <c r="ABX85" s="41"/>
      <c r="ABY85" s="41"/>
      <c r="ABZ85" s="41"/>
      <c r="ACA85" s="76"/>
      <c r="ACB85" s="66"/>
      <c r="ACC85" s="66"/>
      <c r="ACD85" s="66"/>
      <c r="ACE85" s="66"/>
      <c r="ACF85" s="41"/>
      <c r="ACG85" s="139"/>
      <c r="ACH85" s="41"/>
      <c r="ACI85" s="41"/>
      <c r="ACJ85" s="41"/>
      <c r="ACK85" s="41"/>
      <c r="ACL85" s="41"/>
      <c r="ACM85" s="76"/>
      <c r="ACN85" s="41"/>
      <c r="ACO85" s="41"/>
      <c r="ACP85" s="41"/>
      <c r="ACQ85" s="41"/>
      <c r="ACR85" s="41"/>
      <c r="ACS85" s="139"/>
      <c r="ACT85" s="41"/>
      <c r="ACU85" s="41"/>
      <c r="ACV85" s="41"/>
      <c r="ACW85" s="41"/>
      <c r="ACX85" s="41"/>
      <c r="ACY85" s="76"/>
      <c r="ACZ85" s="41"/>
      <c r="ADA85" s="41"/>
      <c r="ADB85" s="41"/>
      <c r="ADC85" s="41"/>
      <c r="ADD85" s="41"/>
      <c r="ADE85" s="42"/>
      <c r="ADF85" s="40"/>
      <c r="ADG85" s="66"/>
      <c r="ADH85" s="66"/>
      <c r="ADI85" s="66"/>
      <c r="ADJ85" s="41"/>
      <c r="ADK85" s="134"/>
      <c r="ADL85" s="41"/>
      <c r="ADM85" s="41"/>
      <c r="ADN85" s="41"/>
      <c r="ADO85" s="41"/>
      <c r="ADP85" s="41"/>
      <c r="ADQ85" s="139"/>
      <c r="ADR85" s="41"/>
      <c r="ADS85" s="41"/>
      <c r="ADT85" s="41"/>
      <c r="ADU85" s="41"/>
      <c r="ADV85" s="41"/>
      <c r="ADW85" s="76"/>
      <c r="ADX85" s="41"/>
      <c r="ADY85" s="41"/>
      <c r="ADZ85" s="41"/>
      <c r="AEA85" s="41"/>
      <c r="AEB85" s="41"/>
      <c r="AEC85" s="139"/>
      <c r="AED85" s="41"/>
      <c r="AEE85" s="41"/>
      <c r="AEF85" s="41"/>
      <c r="AEG85" s="41"/>
      <c r="AEH85" s="41"/>
      <c r="AEI85" s="76"/>
      <c r="AEJ85" s="66"/>
      <c r="AEK85" s="66"/>
      <c r="AEL85" s="66"/>
      <c r="AEM85" s="66"/>
      <c r="AEN85" s="41"/>
      <c r="AEO85" s="139"/>
      <c r="AEP85" s="41"/>
      <c r="AEQ85" s="41"/>
      <c r="AER85" s="41"/>
      <c r="AES85" s="41"/>
      <c r="AET85" s="41"/>
      <c r="AEU85" s="76"/>
      <c r="AEV85" s="41"/>
      <c r="AEW85" s="41"/>
      <c r="AEX85" s="41"/>
      <c r="AEY85" s="41"/>
      <c r="AEZ85" s="41"/>
      <c r="AFA85" s="139"/>
      <c r="AFB85" s="41"/>
      <c r="AFC85" s="41"/>
      <c r="AFD85" s="41"/>
      <c r="AFE85" s="41"/>
      <c r="AFF85" s="41"/>
      <c r="AFG85" s="76"/>
      <c r="AFH85" s="41"/>
      <c r="AFI85" s="41"/>
      <c r="AFJ85" s="41"/>
      <c r="AFK85" s="41"/>
      <c r="AFL85" s="41"/>
      <c r="AFM85" s="42"/>
      <c r="AFN85" s="90"/>
    </row>
    <row r="86" spans="1:846" ht="20.100000000000001" customHeight="1" x14ac:dyDescent="0.3">
      <c r="A86" s="100" t="s">
        <v>21</v>
      </c>
      <c r="B86" s="63"/>
      <c r="C86" s="219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28"/>
      <c r="RS86" s="67"/>
      <c r="RT86" s="67"/>
      <c r="RU86" s="67"/>
      <c r="RV86" s="29"/>
      <c r="RW86" s="131"/>
      <c r="RX86" s="29"/>
      <c r="RY86" s="29"/>
      <c r="RZ86" s="29"/>
      <c r="SA86" s="29"/>
      <c r="SB86" s="29"/>
      <c r="SC86" s="136"/>
      <c r="SD86" s="29"/>
      <c r="SE86" s="29"/>
      <c r="SF86" s="29"/>
      <c r="SG86" s="29"/>
      <c r="SH86" s="29"/>
      <c r="SI86" s="73"/>
      <c r="SJ86" s="29"/>
      <c r="SK86" s="29"/>
      <c r="SL86" s="29"/>
      <c r="SM86" s="29"/>
      <c r="SN86" s="29"/>
      <c r="SO86" s="136"/>
      <c r="SP86" s="29"/>
      <c r="SQ86" s="29"/>
      <c r="SR86" s="29"/>
      <c r="SS86" s="29"/>
      <c r="ST86" s="29"/>
      <c r="SU86" s="73"/>
      <c r="SV86" s="67"/>
      <c r="SW86" s="67"/>
      <c r="SX86" s="67"/>
      <c r="SY86" s="67"/>
      <c r="SZ86" s="29"/>
      <c r="TA86" s="136"/>
      <c r="TB86" s="29"/>
      <c r="TC86" s="29"/>
      <c r="TD86" s="29"/>
      <c r="TE86" s="29"/>
      <c r="TF86" s="29"/>
      <c r="TG86" s="73"/>
      <c r="TH86" s="29"/>
      <c r="TI86" s="29"/>
      <c r="TJ86" s="29"/>
      <c r="TK86" s="29"/>
      <c r="TL86" s="29"/>
      <c r="TM86" s="136"/>
      <c r="TN86" s="29"/>
      <c r="TO86" s="29"/>
      <c r="TP86" s="29"/>
      <c r="TQ86" s="29"/>
      <c r="TR86" s="29"/>
      <c r="TS86" s="73"/>
      <c r="TT86" s="29"/>
      <c r="TU86" s="29"/>
      <c r="TV86" s="29"/>
      <c r="TW86" s="29"/>
      <c r="TX86" s="29"/>
      <c r="TY86" s="30"/>
      <c r="TZ86" s="28"/>
      <c r="UA86" s="67"/>
      <c r="UB86" s="67"/>
      <c r="UC86" s="67"/>
      <c r="UD86" s="29"/>
      <c r="UE86" s="131"/>
      <c r="UF86" s="29"/>
      <c r="UG86" s="29"/>
      <c r="UH86" s="29"/>
      <c r="UI86" s="29"/>
      <c r="UJ86" s="29"/>
      <c r="UK86" s="136"/>
      <c r="UL86" s="29"/>
      <c r="UM86" s="29"/>
      <c r="UN86" s="29"/>
      <c r="UO86" s="29"/>
      <c r="UP86" s="29"/>
      <c r="UQ86" s="73"/>
      <c r="UR86" s="29"/>
      <c r="US86" s="29"/>
      <c r="UT86" s="29"/>
      <c r="UU86" s="29"/>
      <c r="UV86" s="29"/>
      <c r="UW86" s="136"/>
      <c r="UX86" s="29"/>
      <c r="UY86" s="29"/>
      <c r="UZ86" s="29"/>
      <c r="VA86" s="29"/>
      <c r="VB86" s="29"/>
      <c r="VC86" s="73"/>
      <c r="VD86" s="67"/>
      <c r="VE86" s="67"/>
      <c r="VF86" s="67"/>
      <c r="VG86" s="67"/>
      <c r="VH86" s="29"/>
      <c r="VI86" s="136"/>
      <c r="VJ86" s="29"/>
      <c r="VK86" s="29"/>
      <c r="VL86" s="29"/>
      <c r="VM86" s="29"/>
      <c r="VN86" s="29"/>
      <c r="VO86" s="73"/>
      <c r="VP86" s="29"/>
      <c r="VQ86" s="29"/>
      <c r="VR86" s="29"/>
      <c r="VS86" s="29"/>
      <c r="VT86" s="29"/>
      <c r="VU86" s="136"/>
      <c r="VV86" s="29"/>
      <c r="VW86" s="29"/>
      <c r="VX86" s="29"/>
      <c r="VY86" s="29"/>
      <c r="VZ86" s="29"/>
      <c r="WA86" s="73"/>
      <c r="WB86" s="29"/>
      <c r="WC86" s="29"/>
      <c r="WD86" s="29"/>
      <c r="WE86" s="29"/>
      <c r="WF86" s="29"/>
      <c r="WG86" s="30"/>
      <c r="WH86" s="28"/>
      <c r="WI86" s="67"/>
      <c r="WJ86" s="67"/>
      <c r="WK86" s="67"/>
      <c r="WL86" s="29"/>
      <c r="WM86" s="131"/>
      <c r="WN86" s="29"/>
      <c r="WO86" s="29"/>
      <c r="WP86" s="29"/>
      <c r="WQ86" s="29"/>
      <c r="WR86" s="29"/>
      <c r="WS86" s="136"/>
      <c r="WT86" s="29"/>
      <c r="WU86" s="29"/>
      <c r="WV86" s="29"/>
      <c r="WW86" s="29"/>
      <c r="WX86" s="29"/>
      <c r="WY86" s="73"/>
      <c r="WZ86" s="29"/>
      <c r="XA86" s="29"/>
      <c r="XB86" s="29"/>
      <c r="XC86" s="29"/>
      <c r="XD86" s="29"/>
      <c r="XE86" s="136"/>
      <c r="XF86" s="29"/>
      <c r="XG86" s="29"/>
      <c r="XH86" s="29"/>
      <c r="XI86" s="29"/>
      <c r="XJ86" s="29"/>
      <c r="XK86" s="73"/>
      <c r="XL86" s="67"/>
      <c r="XM86" s="67"/>
      <c r="XN86" s="67"/>
      <c r="XO86" s="67"/>
      <c r="XP86" s="29"/>
      <c r="XQ86" s="136"/>
      <c r="XR86" s="29"/>
      <c r="XS86" s="29"/>
      <c r="XT86" s="29"/>
      <c r="XU86" s="29"/>
      <c r="XV86" s="29"/>
      <c r="XW86" s="73"/>
      <c r="XX86" s="29"/>
      <c r="XY86" s="29"/>
      <c r="XZ86" s="29"/>
      <c r="YA86" s="29"/>
      <c r="YB86" s="29"/>
      <c r="YC86" s="136"/>
      <c r="YD86" s="29"/>
      <c r="YE86" s="29"/>
      <c r="YF86" s="29"/>
      <c r="YG86" s="29"/>
      <c r="YH86" s="29"/>
      <c r="YI86" s="73"/>
      <c r="YJ86" s="29"/>
      <c r="YK86" s="29"/>
      <c r="YL86" s="29"/>
      <c r="YM86" s="29"/>
      <c r="YN86" s="29"/>
      <c r="YO86" s="30"/>
      <c r="YP86" s="28"/>
      <c r="YQ86" s="67"/>
      <c r="YR86" s="67"/>
      <c r="YS86" s="67"/>
      <c r="YT86" s="29"/>
      <c r="YU86" s="131"/>
      <c r="YV86" s="29"/>
      <c r="YW86" s="29"/>
      <c r="YX86" s="29"/>
      <c r="YY86" s="29"/>
      <c r="YZ86" s="29"/>
      <c r="ZA86" s="136"/>
      <c r="ZB86" s="29"/>
      <c r="ZC86" s="29"/>
      <c r="ZD86" s="29"/>
      <c r="ZE86" s="29"/>
      <c r="ZF86" s="29"/>
      <c r="ZG86" s="73"/>
      <c r="ZH86" s="29"/>
      <c r="ZI86" s="29"/>
      <c r="ZJ86" s="29"/>
      <c r="ZK86" s="29"/>
      <c r="ZL86" s="29"/>
      <c r="ZM86" s="136"/>
      <c r="ZN86" s="29"/>
      <c r="ZO86" s="29"/>
      <c r="ZP86" s="29"/>
      <c r="ZQ86" s="29"/>
      <c r="ZR86" s="29"/>
      <c r="ZS86" s="73"/>
      <c r="ZT86" s="67"/>
      <c r="ZU86" s="67"/>
      <c r="ZV86" s="67"/>
      <c r="ZW86" s="67"/>
      <c r="ZX86" s="29"/>
      <c r="ZY86" s="136"/>
      <c r="ZZ86" s="29"/>
      <c r="AAA86" s="29"/>
      <c r="AAB86" s="29"/>
      <c r="AAC86" s="29"/>
      <c r="AAD86" s="29"/>
      <c r="AAE86" s="73"/>
      <c r="AAF86" s="29"/>
      <c r="AAG86" s="29"/>
      <c r="AAH86" s="29"/>
      <c r="AAI86" s="29"/>
      <c r="AAJ86" s="29"/>
      <c r="AAK86" s="136"/>
      <c r="AAL86" s="29"/>
      <c r="AAM86" s="29"/>
      <c r="AAN86" s="29"/>
      <c r="AAO86" s="29"/>
      <c r="AAP86" s="29"/>
      <c r="AAQ86" s="73"/>
      <c r="AAR86" s="29"/>
      <c r="AAS86" s="29"/>
      <c r="AAT86" s="29"/>
      <c r="AAU86" s="29"/>
      <c r="AAV86" s="29"/>
      <c r="AAW86" s="30"/>
      <c r="AAX86" s="28"/>
      <c r="AAY86" s="67"/>
      <c r="AAZ86" s="67"/>
      <c r="ABA86" s="67"/>
      <c r="ABB86" s="29"/>
      <c r="ABC86" s="131"/>
      <c r="ABD86" s="29"/>
      <c r="ABE86" s="29"/>
      <c r="ABF86" s="29"/>
      <c r="ABG86" s="29"/>
      <c r="ABH86" s="29"/>
      <c r="ABI86" s="136"/>
      <c r="ABJ86" s="29"/>
      <c r="ABK86" s="29"/>
      <c r="ABL86" s="29"/>
      <c r="ABM86" s="29"/>
      <c r="ABN86" s="29"/>
      <c r="ABO86" s="73"/>
      <c r="ABP86" s="29"/>
      <c r="ABQ86" s="29"/>
      <c r="ABR86" s="29"/>
      <c r="ABS86" s="29"/>
      <c r="ABT86" s="29"/>
      <c r="ABU86" s="136"/>
      <c r="ABV86" s="29"/>
      <c r="ABW86" s="29"/>
      <c r="ABX86" s="29"/>
      <c r="ABY86" s="29"/>
      <c r="ABZ86" s="29"/>
      <c r="ACA86" s="73"/>
      <c r="ACB86" s="67"/>
      <c r="ACC86" s="67"/>
      <c r="ACD86" s="67"/>
      <c r="ACE86" s="67"/>
      <c r="ACF86" s="29"/>
      <c r="ACG86" s="136"/>
      <c r="ACH86" s="29"/>
      <c r="ACI86" s="29"/>
      <c r="ACJ86" s="29"/>
      <c r="ACK86" s="29"/>
      <c r="ACL86" s="29"/>
      <c r="ACM86" s="73"/>
      <c r="ACN86" s="29"/>
      <c r="ACO86" s="29"/>
      <c r="ACP86" s="29"/>
      <c r="ACQ86" s="29"/>
      <c r="ACR86" s="29"/>
      <c r="ACS86" s="136"/>
      <c r="ACT86" s="29"/>
      <c r="ACU86" s="29"/>
      <c r="ACV86" s="29"/>
      <c r="ACW86" s="29"/>
      <c r="ACX86" s="29"/>
      <c r="ACY86" s="73"/>
      <c r="ACZ86" s="29"/>
      <c r="ADA86" s="29"/>
      <c r="ADB86" s="29"/>
      <c r="ADC86" s="29"/>
      <c r="ADD86" s="29"/>
      <c r="ADE86" s="30"/>
      <c r="ADF86" s="28"/>
      <c r="ADG86" s="67"/>
      <c r="ADH86" s="67"/>
      <c r="ADI86" s="67"/>
      <c r="ADJ86" s="29"/>
      <c r="ADK86" s="131"/>
      <c r="ADL86" s="29"/>
      <c r="ADM86" s="29"/>
      <c r="ADN86" s="29"/>
      <c r="ADO86" s="29"/>
      <c r="ADP86" s="29"/>
      <c r="ADQ86" s="136"/>
      <c r="ADR86" s="29"/>
      <c r="ADS86" s="29"/>
      <c r="ADT86" s="29"/>
      <c r="ADU86" s="29"/>
      <c r="ADV86" s="29"/>
      <c r="ADW86" s="73"/>
      <c r="ADX86" s="29"/>
      <c r="ADY86" s="29"/>
      <c r="ADZ86" s="29"/>
      <c r="AEA86" s="29"/>
      <c r="AEB86" s="29"/>
      <c r="AEC86" s="136"/>
      <c r="AED86" s="29"/>
      <c r="AEE86" s="29"/>
      <c r="AEF86" s="29"/>
      <c r="AEG86" s="29"/>
      <c r="AEH86" s="29"/>
      <c r="AEI86" s="73"/>
      <c r="AEJ86" s="67"/>
      <c r="AEK86" s="67"/>
      <c r="AEL86" s="67"/>
      <c r="AEM86" s="67"/>
      <c r="AEN86" s="29"/>
      <c r="AEO86" s="136"/>
      <c r="AEP86" s="29"/>
      <c r="AEQ86" s="29"/>
      <c r="AER86" s="29"/>
      <c r="AES86" s="29"/>
      <c r="AET86" s="29"/>
      <c r="AEU86" s="73"/>
      <c r="AEV86" s="29"/>
      <c r="AEW86" s="29"/>
      <c r="AEX86" s="29"/>
      <c r="AEY86" s="29"/>
      <c r="AEZ86" s="29"/>
      <c r="AFA86" s="136"/>
      <c r="AFB86" s="29"/>
      <c r="AFC86" s="29"/>
      <c r="AFD86" s="29"/>
      <c r="AFE86" s="29"/>
      <c r="AFF86" s="29"/>
      <c r="AFG86" s="73"/>
      <c r="AFH86" s="29"/>
      <c r="AFI86" s="29"/>
      <c r="AFJ86" s="29"/>
      <c r="AFK86" s="29"/>
      <c r="AFL86" s="29"/>
      <c r="AFM86" s="30"/>
      <c r="AFN86" s="90"/>
    </row>
    <row r="87" spans="1:846" ht="20.100000000000001" customHeight="1" x14ac:dyDescent="0.25">
      <c r="A87" s="100" t="s">
        <v>20</v>
      </c>
      <c r="B87" s="63"/>
      <c r="C87" s="218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32"/>
      <c r="RS87" s="64"/>
      <c r="RT87" s="64"/>
      <c r="RU87" s="64"/>
      <c r="RV87" s="33"/>
      <c r="RW87" s="132"/>
      <c r="RX87" s="33"/>
      <c r="RY87" s="33"/>
      <c r="RZ87" s="33"/>
      <c r="SA87" s="33"/>
      <c r="SB87" s="33"/>
      <c r="SC87" s="137"/>
      <c r="SD87" s="33"/>
      <c r="SE87" s="33"/>
      <c r="SF87" s="33"/>
      <c r="SG87" s="33"/>
      <c r="SH87" s="33"/>
      <c r="SI87" s="74"/>
      <c r="SJ87" s="33"/>
      <c r="SK87" s="33"/>
      <c r="SL87" s="33"/>
      <c r="SM87" s="33"/>
      <c r="SN87" s="33"/>
      <c r="SO87" s="137"/>
      <c r="SP87" s="33"/>
      <c r="SQ87" s="33"/>
      <c r="SR87" s="33"/>
      <c r="SS87" s="33"/>
      <c r="ST87" s="33"/>
      <c r="SU87" s="74"/>
      <c r="SV87" s="64"/>
      <c r="SW87" s="64"/>
      <c r="SX87" s="64"/>
      <c r="SY87" s="64"/>
      <c r="SZ87" s="33"/>
      <c r="TA87" s="137"/>
      <c r="TB87" s="33"/>
      <c r="TC87" s="33"/>
      <c r="TD87" s="33"/>
      <c r="TE87" s="33"/>
      <c r="TF87" s="33"/>
      <c r="TG87" s="74"/>
      <c r="TH87" s="33"/>
      <c r="TI87" s="33"/>
      <c r="TJ87" s="33"/>
      <c r="TK87" s="33"/>
      <c r="TL87" s="33"/>
      <c r="TM87" s="137"/>
      <c r="TN87" s="33"/>
      <c r="TO87" s="33"/>
      <c r="TP87" s="33"/>
      <c r="TQ87" s="33"/>
      <c r="TR87" s="33"/>
      <c r="TS87" s="74"/>
      <c r="TT87" s="33"/>
      <c r="TU87" s="33"/>
      <c r="TV87" s="33"/>
      <c r="TW87" s="33"/>
      <c r="TX87" s="33"/>
      <c r="TY87" s="34"/>
      <c r="TZ87" s="32"/>
      <c r="UA87" s="64"/>
      <c r="UB87" s="64"/>
      <c r="UC87" s="64"/>
      <c r="UD87" s="33"/>
      <c r="UE87" s="132"/>
      <c r="UF87" s="33"/>
      <c r="UG87" s="33"/>
      <c r="UH87" s="33"/>
      <c r="UI87" s="33"/>
      <c r="UJ87" s="33"/>
      <c r="UK87" s="137"/>
      <c r="UL87" s="33"/>
      <c r="UM87" s="33"/>
      <c r="UN87" s="33"/>
      <c r="UO87" s="33"/>
      <c r="UP87" s="33"/>
      <c r="UQ87" s="74"/>
      <c r="UR87" s="33"/>
      <c r="US87" s="33"/>
      <c r="UT87" s="33"/>
      <c r="UU87" s="33"/>
      <c r="UV87" s="33"/>
      <c r="UW87" s="137"/>
      <c r="UX87" s="33"/>
      <c r="UY87" s="33"/>
      <c r="UZ87" s="33"/>
      <c r="VA87" s="33"/>
      <c r="VB87" s="33"/>
      <c r="VC87" s="74"/>
      <c r="VD87" s="64"/>
      <c r="VE87" s="64"/>
      <c r="VF87" s="64"/>
      <c r="VG87" s="64"/>
      <c r="VH87" s="33"/>
      <c r="VI87" s="137"/>
      <c r="VJ87" s="33"/>
      <c r="VK87" s="33"/>
      <c r="VL87" s="33"/>
      <c r="VM87" s="33"/>
      <c r="VN87" s="33"/>
      <c r="VO87" s="74"/>
      <c r="VP87" s="33"/>
      <c r="VQ87" s="33"/>
      <c r="VR87" s="33"/>
      <c r="VS87" s="33"/>
      <c r="VT87" s="33"/>
      <c r="VU87" s="137"/>
      <c r="VV87" s="33"/>
      <c r="VW87" s="33"/>
      <c r="VX87" s="33"/>
      <c r="VY87" s="33"/>
      <c r="VZ87" s="33"/>
      <c r="WA87" s="74"/>
      <c r="WB87" s="33"/>
      <c r="WC87" s="33"/>
      <c r="WD87" s="33"/>
      <c r="WE87" s="33"/>
      <c r="WF87" s="33"/>
      <c r="WG87" s="34"/>
      <c r="WH87" s="32"/>
      <c r="WI87" s="64"/>
      <c r="WJ87" s="64"/>
      <c r="WK87" s="64"/>
      <c r="WL87" s="33"/>
      <c r="WM87" s="132"/>
      <c r="WN87" s="33"/>
      <c r="WO87" s="33"/>
      <c r="WP87" s="33"/>
      <c r="WQ87" s="33"/>
      <c r="WR87" s="33"/>
      <c r="WS87" s="137"/>
      <c r="WT87" s="33"/>
      <c r="WU87" s="33"/>
      <c r="WV87" s="33"/>
      <c r="WW87" s="33"/>
      <c r="WX87" s="33"/>
      <c r="WY87" s="74"/>
      <c r="WZ87" s="33"/>
      <c r="XA87" s="33"/>
      <c r="XB87" s="33"/>
      <c r="XC87" s="33"/>
      <c r="XD87" s="33"/>
      <c r="XE87" s="137"/>
      <c r="XF87" s="33"/>
      <c r="XG87" s="33"/>
      <c r="XH87" s="33"/>
      <c r="XI87" s="33"/>
      <c r="XJ87" s="33"/>
      <c r="XK87" s="74"/>
      <c r="XL87" s="64"/>
      <c r="XM87" s="64"/>
      <c r="XN87" s="64"/>
      <c r="XO87" s="64"/>
      <c r="XP87" s="33"/>
      <c r="XQ87" s="137"/>
      <c r="XR87" s="33"/>
      <c r="XS87" s="33"/>
      <c r="XT87" s="33"/>
      <c r="XU87" s="33"/>
      <c r="XV87" s="33"/>
      <c r="XW87" s="74"/>
      <c r="XX87" s="33"/>
      <c r="XY87" s="33"/>
      <c r="XZ87" s="33"/>
      <c r="YA87" s="33"/>
      <c r="YB87" s="33"/>
      <c r="YC87" s="137"/>
      <c r="YD87" s="33"/>
      <c r="YE87" s="33"/>
      <c r="YF87" s="33"/>
      <c r="YG87" s="33"/>
      <c r="YH87" s="33"/>
      <c r="YI87" s="74"/>
      <c r="YJ87" s="33"/>
      <c r="YK87" s="33"/>
      <c r="YL87" s="33"/>
      <c r="YM87" s="33"/>
      <c r="YN87" s="33"/>
      <c r="YO87" s="34"/>
      <c r="YP87" s="32"/>
      <c r="YQ87" s="64"/>
      <c r="YR87" s="64"/>
      <c r="YS87" s="64"/>
      <c r="YT87" s="33"/>
      <c r="YU87" s="132"/>
      <c r="YV87" s="33"/>
      <c r="YW87" s="33"/>
      <c r="YX87" s="33"/>
      <c r="YY87" s="33"/>
      <c r="YZ87" s="33"/>
      <c r="ZA87" s="137"/>
      <c r="ZB87" s="33"/>
      <c r="ZC87" s="33"/>
      <c r="ZD87" s="33"/>
      <c r="ZE87" s="33"/>
      <c r="ZF87" s="33"/>
      <c r="ZG87" s="74"/>
      <c r="ZH87" s="33"/>
      <c r="ZI87" s="33"/>
      <c r="ZJ87" s="33"/>
      <c r="ZK87" s="33"/>
      <c r="ZL87" s="33"/>
      <c r="ZM87" s="137"/>
      <c r="ZN87" s="33"/>
      <c r="ZO87" s="33"/>
      <c r="ZP87" s="33"/>
      <c r="ZQ87" s="33"/>
      <c r="ZR87" s="33"/>
      <c r="ZS87" s="74"/>
      <c r="ZT87" s="64"/>
      <c r="ZU87" s="64"/>
      <c r="ZV87" s="64"/>
      <c r="ZW87" s="64"/>
      <c r="ZX87" s="33"/>
      <c r="ZY87" s="137"/>
      <c r="ZZ87" s="33"/>
      <c r="AAA87" s="33"/>
      <c r="AAB87" s="33"/>
      <c r="AAC87" s="33"/>
      <c r="AAD87" s="33"/>
      <c r="AAE87" s="74"/>
      <c r="AAF87" s="33"/>
      <c r="AAG87" s="33"/>
      <c r="AAH87" s="33"/>
      <c r="AAI87" s="33"/>
      <c r="AAJ87" s="33"/>
      <c r="AAK87" s="137"/>
      <c r="AAL87" s="33"/>
      <c r="AAM87" s="33"/>
      <c r="AAN87" s="33"/>
      <c r="AAO87" s="33"/>
      <c r="AAP87" s="33"/>
      <c r="AAQ87" s="74"/>
      <c r="AAR87" s="33"/>
      <c r="AAS87" s="33"/>
      <c r="AAT87" s="33"/>
      <c r="AAU87" s="33"/>
      <c r="AAV87" s="33"/>
      <c r="AAW87" s="34"/>
      <c r="AAX87" s="32"/>
      <c r="AAY87" s="64"/>
      <c r="AAZ87" s="64"/>
      <c r="ABA87" s="64"/>
      <c r="ABB87" s="33"/>
      <c r="ABC87" s="132"/>
      <c r="ABD87" s="33"/>
      <c r="ABE87" s="33"/>
      <c r="ABF87" s="33"/>
      <c r="ABG87" s="33"/>
      <c r="ABH87" s="33"/>
      <c r="ABI87" s="137"/>
      <c r="ABJ87" s="33"/>
      <c r="ABK87" s="33"/>
      <c r="ABL87" s="33"/>
      <c r="ABM87" s="33"/>
      <c r="ABN87" s="33"/>
      <c r="ABO87" s="74"/>
      <c r="ABP87" s="33"/>
      <c r="ABQ87" s="33"/>
      <c r="ABR87" s="33"/>
      <c r="ABS87" s="33"/>
      <c r="ABT87" s="33"/>
      <c r="ABU87" s="137"/>
      <c r="ABV87" s="33"/>
      <c r="ABW87" s="33"/>
      <c r="ABX87" s="33"/>
      <c r="ABY87" s="33"/>
      <c r="ABZ87" s="33"/>
      <c r="ACA87" s="74"/>
      <c r="ACB87" s="64"/>
      <c r="ACC87" s="64"/>
      <c r="ACD87" s="64"/>
      <c r="ACE87" s="64"/>
      <c r="ACF87" s="33"/>
      <c r="ACG87" s="137"/>
      <c r="ACH87" s="33"/>
      <c r="ACI87" s="33"/>
      <c r="ACJ87" s="33"/>
      <c r="ACK87" s="33"/>
      <c r="ACL87" s="33"/>
      <c r="ACM87" s="74"/>
      <c r="ACN87" s="33"/>
      <c r="ACO87" s="33"/>
      <c r="ACP87" s="33"/>
      <c r="ACQ87" s="33"/>
      <c r="ACR87" s="33"/>
      <c r="ACS87" s="137"/>
      <c r="ACT87" s="33"/>
      <c r="ACU87" s="33"/>
      <c r="ACV87" s="33"/>
      <c r="ACW87" s="33"/>
      <c r="ACX87" s="33"/>
      <c r="ACY87" s="74"/>
      <c r="ACZ87" s="33"/>
      <c r="ADA87" s="33"/>
      <c r="ADB87" s="33"/>
      <c r="ADC87" s="33"/>
      <c r="ADD87" s="33"/>
      <c r="ADE87" s="34"/>
      <c r="ADF87" s="32"/>
      <c r="ADG87" s="64"/>
      <c r="ADH87" s="64"/>
      <c r="ADI87" s="64"/>
      <c r="ADJ87" s="33"/>
      <c r="ADK87" s="132"/>
      <c r="ADL87" s="33"/>
      <c r="ADM87" s="33"/>
      <c r="ADN87" s="33"/>
      <c r="ADO87" s="33"/>
      <c r="ADP87" s="33"/>
      <c r="ADQ87" s="137"/>
      <c r="ADR87" s="33"/>
      <c r="ADS87" s="33"/>
      <c r="ADT87" s="33"/>
      <c r="ADU87" s="33"/>
      <c r="ADV87" s="33"/>
      <c r="ADW87" s="74"/>
      <c r="ADX87" s="33"/>
      <c r="ADY87" s="33"/>
      <c r="ADZ87" s="33"/>
      <c r="AEA87" s="33"/>
      <c r="AEB87" s="33"/>
      <c r="AEC87" s="137"/>
      <c r="AED87" s="33"/>
      <c r="AEE87" s="33"/>
      <c r="AEF87" s="33"/>
      <c r="AEG87" s="33"/>
      <c r="AEH87" s="33"/>
      <c r="AEI87" s="74"/>
      <c r="AEJ87" s="64"/>
      <c r="AEK87" s="64"/>
      <c r="AEL87" s="64"/>
      <c r="AEM87" s="64"/>
      <c r="AEN87" s="33"/>
      <c r="AEO87" s="137"/>
      <c r="AEP87" s="33"/>
      <c r="AEQ87" s="33"/>
      <c r="AER87" s="33"/>
      <c r="AES87" s="33"/>
      <c r="AET87" s="33"/>
      <c r="AEU87" s="74"/>
      <c r="AEV87" s="33"/>
      <c r="AEW87" s="33"/>
      <c r="AEX87" s="33"/>
      <c r="AEY87" s="33"/>
      <c r="AEZ87" s="33"/>
      <c r="AFA87" s="137"/>
      <c r="AFB87" s="33"/>
      <c r="AFC87" s="33"/>
      <c r="AFD87" s="33"/>
      <c r="AFE87" s="33"/>
      <c r="AFF87" s="33"/>
      <c r="AFG87" s="74"/>
      <c r="AFH87" s="33"/>
      <c r="AFI87" s="33"/>
      <c r="AFJ87" s="33"/>
      <c r="AFK87" s="33"/>
      <c r="AFL87" s="33"/>
      <c r="AFM87" s="34"/>
      <c r="AFN87" s="90"/>
    </row>
    <row r="88" spans="1:846" ht="20.100000000000001" customHeight="1" x14ac:dyDescent="0.25">
      <c r="A88" s="100" t="s">
        <v>21</v>
      </c>
      <c r="B88" s="63"/>
      <c r="C88" s="220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36"/>
      <c r="RS88" s="65"/>
      <c r="RT88" s="65"/>
      <c r="RU88" s="65"/>
      <c r="RV88" s="37"/>
      <c r="RW88" s="133"/>
      <c r="RX88" s="37"/>
      <c r="RY88" s="37"/>
      <c r="RZ88" s="37"/>
      <c r="SA88" s="37"/>
      <c r="SB88" s="37"/>
      <c r="SC88" s="138"/>
      <c r="SD88" s="37"/>
      <c r="SE88" s="37"/>
      <c r="SF88" s="37"/>
      <c r="SG88" s="37"/>
      <c r="SH88" s="37"/>
      <c r="SI88" s="75"/>
      <c r="SJ88" s="37"/>
      <c r="SK88" s="37"/>
      <c r="SL88" s="37"/>
      <c r="SM88" s="37"/>
      <c r="SN88" s="37"/>
      <c r="SO88" s="138"/>
      <c r="SP88" s="37"/>
      <c r="SQ88" s="37"/>
      <c r="SR88" s="37"/>
      <c r="SS88" s="37"/>
      <c r="ST88" s="37"/>
      <c r="SU88" s="75"/>
      <c r="SV88" s="65"/>
      <c r="SW88" s="65"/>
      <c r="SX88" s="65"/>
      <c r="SY88" s="65"/>
      <c r="SZ88" s="37"/>
      <c r="TA88" s="138"/>
      <c r="TB88" s="37"/>
      <c r="TC88" s="37"/>
      <c r="TD88" s="37"/>
      <c r="TE88" s="37"/>
      <c r="TF88" s="37"/>
      <c r="TG88" s="75"/>
      <c r="TH88" s="37"/>
      <c r="TI88" s="37"/>
      <c r="TJ88" s="37"/>
      <c r="TK88" s="37"/>
      <c r="TL88" s="37"/>
      <c r="TM88" s="138"/>
      <c r="TN88" s="37"/>
      <c r="TO88" s="37"/>
      <c r="TP88" s="37"/>
      <c r="TQ88" s="37"/>
      <c r="TR88" s="37"/>
      <c r="TS88" s="75"/>
      <c r="TT88" s="37"/>
      <c r="TU88" s="37"/>
      <c r="TV88" s="37"/>
      <c r="TW88" s="37"/>
      <c r="TX88" s="37"/>
      <c r="TY88" s="38"/>
      <c r="TZ88" s="36"/>
      <c r="UA88" s="65"/>
      <c r="UB88" s="65"/>
      <c r="UC88" s="65"/>
      <c r="UD88" s="37"/>
      <c r="UE88" s="133"/>
      <c r="UF88" s="37"/>
      <c r="UG88" s="37"/>
      <c r="UH88" s="37"/>
      <c r="UI88" s="37"/>
      <c r="UJ88" s="37"/>
      <c r="UK88" s="138"/>
      <c r="UL88" s="37"/>
      <c r="UM88" s="37"/>
      <c r="UN88" s="37"/>
      <c r="UO88" s="37"/>
      <c r="UP88" s="37"/>
      <c r="UQ88" s="75"/>
      <c r="UR88" s="37"/>
      <c r="US88" s="37"/>
      <c r="UT88" s="37"/>
      <c r="UU88" s="37"/>
      <c r="UV88" s="37"/>
      <c r="UW88" s="138"/>
      <c r="UX88" s="37"/>
      <c r="UY88" s="37"/>
      <c r="UZ88" s="37"/>
      <c r="VA88" s="37"/>
      <c r="VB88" s="37"/>
      <c r="VC88" s="75"/>
      <c r="VD88" s="65"/>
      <c r="VE88" s="65"/>
      <c r="VF88" s="65"/>
      <c r="VG88" s="65"/>
      <c r="VH88" s="37"/>
      <c r="VI88" s="138"/>
      <c r="VJ88" s="37"/>
      <c r="VK88" s="37"/>
      <c r="VL88" s="37"/>
      <c r="VM88" s="37"/>
      <c r="VN88" s="37"/>
      <c r="VO88" s="75"/>
      <c r="VP88" s="37"/>
      <c r="VQ88" s="37"/>
      <c r="VR88" s="37"/>
      <c r="VS88" s="37"/>
      <c r="VT88" s="37"/>
      <c r="VU88" s="138"/>
      <c r="VV88" s="37"/>
      <c r="VW88" s="37"/>
      <c r="VX88" s="37"/>
      <c r="VY88" s="37"/>
      <c r="VZ88" s="37"/>
      <c r="WA88" s="75"/>
      <c r="WB88" s="37"/>
      <c r="WC88" s="37"/>
      <c r="WD88" s="37"/>
      <c r="WE88" s="37"/>
      <c r="WF88" s="37"/>
      <c r="WG88" s="38"/>
      <c r="WH88" s="36"/>
      <c r="WI88" s="65"/>
      <c r="WJ88" s="65"/>
      <c r="WK88" s="65"/>
      <c r="WL88" s="37"/>
      <c r="WM88" s="133"/>
      <c r="WN88" s="37"/>
      <c r="WO88" s="37"/>
      <c r="WP88" s="37"/>
      <c r="WQ88" s="37"/>
      <c r="WR88" s="37"/>
      <c r="WS88" s="138"/>
      <c r="WT88" s="37"/>
      <c r="WU88" s="37"/>
      <c r="WV88" s="37"/>
      <c r="WW88" s="37"/>
      <c r="WX88" s="37"/>
      <c r="WY88" s="75"/>
      <c r="WZ88" s="37"/>
      <c r="XA88" s="37"/>
      <c r="XB88" s="37"/>
      <c r="XC88" s="37"/>
      <c r="XD88" s="37"/>
      <c r="XE88" s="138"/>
      <c r="XF88" s="37"/>
      <c r="XG88" s="37"/>
      <c r="XH88" s="37"/>
      <c r="XI88" s="37"/>
      <c r="XJ88" s="37"/>
      <c r="XK88" s="75"/>
      <c r="XL88" s="65"/>
      <c r="XM88" s="65"/>
      <c r="XN88" s="65"/>
      <c r="XO88" s="65"/>
      <c r="XP88" s="37"/>
      <c r="XQ88" s="138"/>
      <c r="XR88" s="37"/>
      <c r="XS88" s="37"/>
      <c r="XT88" s="37"/>
      <c r="XU88" s="37"/>
      <c r="XV88" s="37"/>
      <c r="XW88" s="75"/>
      <c r="XX88" s="37"/>
      <c r="XY88" s="37"/>
      <c r="XZ88" s="37"/>
      <c r="YA88" s="37"/>
      <c r="YB88" s="37"/>
      <c r="YC88" s="138"/>
      <c r="YD88" s="37"/>
      <c r="YE88" s="37"/>
      <c r="YF88" s="37"/>
      <c r="YG88" s="37"/>
      <c r="YH88" s="37"/>
      <c r="YI88" s="75"/>
      <c r="YJ88" s="37"/>
      <c r="YK88" s="37"/>
      <c r="YL88" s="37"/>
      <c r="YM88" s="37"/>
      <c r="YN88" s="37"/>
      <c r="YO88" s="38"/>
      <c r="YP88" s="36"/>
      <c r="YQ88" s="65"/>
      <c r="YR88" s="65"/>
      <c r="YS88" s="65"/>
      <c r="YT88" s="37"/>
      <c r="YU88" s="133"/>
      <c r="YV88" s="37"/>
      <c r="YW88" s="37"/>
      <c r="YX88" s="37"/>
      <c r="YY88" s="37"/>
      <c r="YZ88" s="37"/>
      <c r="ZA88" s="138"/>
      <c r="ZB88" s="37"/>
      <c r="ZC88" s="37"/>
      <c r="ZD88" s="37"/>
      <c r="ZE88" s="37"/>
      <c r="ZF88" s="37"/>
      <c r="ZG88" s="75"/>
      <c r="ZH88" s="37"/>
      <c r="ZI88" s="37"/>
      <c r="ZJ88" s="37"/>
      <c r="ZK88" s="37"/>
      <c r="ZL88" s="37"/>
      <c r="ZM88" s="138"/>
      <c r="ZN88" s="37"/>
      <c r="ZO88" s="37"/>
      <c r="ZP88" s="37"/>
      <c r="ZQ88" s="37"/>
      <c r="ZR88" s="37"/>
      <c r="ZS88" s="75"/>
      <c r="ZT88" s="65"/>
      <c r="ZU88" s="65"/>
      <c r="ZV88" s="65"/>
      <c r="ZW88" s="65"/>
      <c r="ZX88" s="37"/>
      <c r="ZY88" s="138"/>
      <c r="ZZ88" s="37"/>
      <c r="AAA88" s="37"/>
      <c r="AAB88" s="37"/>
      <c r="AAC88" s="37"/>
      <c r="AAD88" s="37"/>
      <c r="AAE88" s="75"/>
      <c r="AAF88" s="37"/>
      <c r="AAG88" s="37"/>
      <c r="AAH88" s="37"/>
      <c r="AAI88" s="37"/>
      <c r="AAJ88" s="37"/>
      <c r="AAK88" s="138"/>
      <c r="AAL88" s="37"/>
      <c r="AAM88" s="37"/>
      <c r="AAN88" s="37"/>
      <c r="AAO88" s="37"/>
      <c r="AAP88" s="37"/>
      <c r="AAQ88" s="75"/>
      <c r="AAR88" s="37"/>
      <c r="AAS88" s="37"/>
      <c r="AAT88" s="37"/>
      <c r="AAU88" s="37"/>
      <c r="AAV88" s="37"/>
      <c r="AAW88" s="38"/>
      <c r="AAX88" s="36"/>
      <c r="AAY88" s="65"/>
      <c r="AAZ88" s="65"/>
      <c r="ABA88" s="65"/>
      <c r="ABB88" s="37"/>
      <c r="ABC88" s="133"/>
      <c r="ABD88" s="37"/>
      <c r="ABE88" s="37"/>
      <c r="ABF88" s="37"/>
      <c r="ABG88" s="37"/>
      <c r="ABH88" s="37"/>
      <c r="ABI88" s="138"/>
      <c r="ABJ88" s="37"/>
      <c r="ABK88" s="37"/>
      <c r="ABL88" s="37"/>
      <c r="ABM88" s="37"/>
      <c r="ABN88" s="37"/>
      <c r="ABO88" s="75"/>
      <c r="ABP88" s="37"/>
      <c r="ABQ88" s="37"/>
      <c r="ABR88" s="37"/>
      <c r="ABS88" s="37"/>
      <c r="ABT88" s="37"/>
      <c r="ABU88" s="138"/>
      <c r="ABV88" s="37"/>
      <c r="ABW88" s="37"/>
      <c r="ABX88" s="37"/>
      <c r="ABY88" s="37"/>
      <c r="ABZ88" s="37"/>
      <c r="ACA88" s="75"/>
      <c r="ACB88" s="65"/>
      <c r="ACC88" s="65"/>
      <c r="ACD88" s="65"/>
      <c r="ACE88" s="65"/>
      <c r="ACF88" s="37"/>
      <c r="ACG88" s="138"/>
      <c r="ACH88" s="37"/>
      <c r="ACI88" s="37"/>
      <c r="ACJ88" s="37"/>
      <c r="ACK88" s="37"/>
      <c r="ACL88" s="37"/>
      <c r="ACM88" s="75"/>
      <c r="ACN88" s="37"/>
      <c r="ACO88" s="37"/>
      <c r="ACP88" s="37"/>
      <c r="ACQ88" s="37"/>
      <c r="ACR88" s="37"/>
      <c r="ACS88" s="138"/>
      <c r="ACT88" s="37"/>
      <c r="ACU88" s="37"/>
      <c r="ACV88" s="37"/>
      <c r="ACW88" s="37"/>
      <c r="ACX88" s="37"/>
      <c r="ACY88" s="75"/>
      <c r="ACZ88" s="37"/>
      <c r="ADA88" s="37"/>
      <c r="ADB88" s="37"/>
      <c r="ADC88" s="37"/>
      <c r="ADD88" s="37"/>
      <c r="ADE88" s="38"/>
      <c r="ADF88" s="36"/>
      <c r="ADG88" s="65"/>
      <c r="ADH88" s="65"/>
      <c r="ADI88" s="65"/>
      <c r="ADJ88" s="37"/>
      <c r="ADK88" s="133"/>
      <c r="ADL88" s="37"/>
      <c r="ADM88" s="37"/>
      <c r="ADN88" s="37"/>
      <c r="ADO88" s="37"/>
      <c r="ADP88" s="37"/>
      <c r="ADQ88" s="138"/>
      <c r="ADR88" s="37"/>
      <c r="ADS88" s="37"/>
      <c r="ADT88" s="37"/>
      <c r="ADU88" s="37"/>
      <c r="ADV88" s="37"/>
      <c r="ADW88" s="75"/>
      <c r="ADX88" s="37"/>
      <c r="ADY88" s="37"/>
      <c r="ADZ88" s="37"/>
      <c r="AEA88" s="37"/>
      <c r="AEB88" s="37"/>
      <c r="AEC88" s="138"/>
      <c r="AED88" s="37"/>
      <c r="AEE88" s="37"/>
      <c r="AEF88" s="37"/>
      <c r="AEG88" s="37"/>
      <c r="AEH88" s="37"/>
      <c r="AEI88" s="75"/>
      <c r="AEJ88" s="65"/>
      <c r="AEK88" s="65"/>
      <c r="AEL88" s="65"/>
      <c r="AEM88" s="65"/>
      <c r="AEN88" s="37"/>
      <c r="AEO88" s="138"/>
      <c r="AEP88" s="37"/>
      <c r="AEQ88" s="37"/>
      <c r="AER88" s="37"/>
      <c r="AES88" s="37"/>
      <c r="AET88" s="37"/>
      <c r="AEU88" s="75"/>
      <c r="AEV88" s="37"/>
      <c r="AEW88" s="37"/>
      <c r="AEX88" s="37"/>
      <c r="AEY88" s="37"/>
      <c r="AEZ88" s="37"/>
      <c r="AFA88" s="138"/>
      <c r="AFB88" s="37"/>
      <c r="AFC88" s="37"/>
      <c r="AFD88" s="37"/>
      <c r="AFE88" s="37"/>
      <c r="AFF88" s="37"/>
      <c r="AFG88" s="75"/>
      <c r="AFH88" s="37"/>
      <c r="AFI88" s="37"/>
      <c r="AFJ88" s="37"/>
      <c r="AFK88" s="37"/>
      <c r="AFL88" s="37"/>
      <c r="AFM88" s="38"/>
      <c r="AFN88" s="90"/>
    </row>
    <row r="89" spans="1:846" ht="20.100000000000001" customHeight="1" x14ac:dyDescent="0.25">
      <c r="A89" s="100" t="s">
        <v>20</v>
      </c>
      <c r="B89" s="63"/>
      <c r="C89" s="218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32"/>
      <c r="RS89" s="64"/>
      <c r="RT89" s="64"/>
      <c r="RU89" s="64"/>
      <c r="RV89" s="33"/>
      <c r="RW89" s="132"/>
      <c r="RX89" s="33"/>
      <c r="RY89" s="33"/>
      <c r="RZ89" s="33"/>
      <c r="SA89" s="33"/>
      <c r="SB89" s="33"/>
      <c r="SC89" s="137"/>
      <c r="SD89" s="33"/>
      <c r="SE89" s="33"/>
      <c r="SF89" s="33"/>
      <c r="SG89" s="33"/>
      <c r="SH89" s="33"/>
      <c r="SI89" s="74"/>
      <c r="SJ89" s="33"/>
      <c r="SK89" s="33"/>
      <c r="SL89" s="33"/>
      <c r="SM89" s="33"/>
      <c r="SN89" s="33"/>
      <c r="SO89" s="137"/>
      <c r="SP89" s="33"/>
      <c r="SQ89" s="33"/>
      <c r="SR89" s="33"/>
      <c r="SS89" s="33"/>
      <c r="ST89" s="33"/>
      <c r="SU89" s="74"/>
      <c r="SV89" s="64"/>
      <c r="SW89" s="64"/>
      <c r="SX89" s="64"/>
      <c r="SY89" s="64"/>
      <c r="SZ89" s="33"/>
      <c r="TA89" s="137"/>
      <c r="TB89" s="33"/>
      <c r="TC89" s="33"/>
      <c r="TD89" s="33"/>
      <c r="TE89" s="33"/>
      <c r="TF89" s="33"/>
      <c r="TG89" s="74"/>
      <c r="TH89" s="33"/>
      <c r="TI89" s="33"/>
      <c r="TJ89" s="33"/>
      <c r="TK89" s="33"/>
      <c r="TL89" s="33"/>
      <c r="TM89" s="137"/>
      <c r="TN89" s="33"/>
      <c r="TO89" s="33"/>
      <c r="TP89" s="33"/>
      <c r="TQ89" s="33"/>
      <c r="TR89" s="33"/>
      <c r="TS89" s="74"/>
      <c r="TT89" s="33"/>
      <c r="TU89" s="33"/>
      <c r="TV89" s="33"/>
      <c r="TW89" s="33"/>
      <c r="TX89" s="33"/>
      <c r="TY89" s="34"/>
      <c r="TZ89" s="32"/>
      <c r="UA89" s="64"/>
      <c r="UB89" s="64"/>
      <c r="UC89" s="64"/>
      <c r="UD89" s="33"/>
      <c r="UE89" s="132"/>
      <c r="UF89" s="33"/>
      <c r="UG89" s="33"/>
      <c r="UH89" s="33"/>
      <c r="UI89" s="33"/>
      <c r="UJ89" s="33"/>
      <c r="UK89" s="137"/>
      <c r="UL89" s="33"/>
      <c r="UM89" s="33"/>
      <c r="UN89" s="33"/>
      <c r="UO89" s="33"/>
      <c r="UP89" s="33"/>
      <c r="UQ89" s="74"/>
      <c r="UR89" s="33"/>
      <c r="US89" s="33"/>
      <c r="UT89" s="33"/>
      <c r="UU89" s="33"/>
      <c r="UV89" s="33"/>
      <c r="UW89" s="137"/>
      <c r="UX89" s="33"/>
      <c r="UY89" s="33"/>
      <c r="UZ89" s="33"/>
      <c r="VA89" s="33"/>
      <c r="VB89" s="33"/>
      <c r="VC89" s="74"/>
      <c r="VD89" s="64"/>
      <c r="VE89" s="64"/>
      <c r="VF89" s="64"/>
      <c r="VG89" s="64"/>
      <c r="VH89" s="33"/>
      <c r="VI89" s="137"/>
      <c r="VJ89" s="33"/>
      <c r="VK89" s="33"/>
      <c r="VL89" s="33"/>
      <c r="VM89" s="33"/>
      <c r="VN89" s="33"/>
      <c r="VO89" s="74"/>
      <c r="VP89" s="33"/>
      <c r="VQ89" s="33"/>
      <c r="VR89" s="33"/>
      <c r="VS89" s="33"/>
      <c r="VT89" s="33"/>
      <c r="VU89" s="137"/>
      <c r="VV89" s="33"/>
      <c r="VW89" s="33"/>
      <c r="VX89" s="33"/>
      <c r="VY89" s="33"/>
      <c r="VZ89" s="33"/>
      <c r="WA89" s="74"/>
      <c r="WB89" s="33"/>
      <c r="WC89" s="33"/>
      <c r="WD89" s="33"/>
      <c r="WE89" s="33"/>
      <c r="WF89" s="33"/>
      <c r="WG89" s="34"/>
      <c r="WH89" s="32"/>
      <c r="WI89" s="64"/>
      <c r="WJ89" s="64"/>
      <c r="WK89" s="64"/>
      <c r="WL89" s="33"/>
      <c r="WM89" s="132"/>
      <c r="WN89" s="33"/>
      <c r="WO89" s="33"/>
      <c r="WP89" s="33"/>
      <c r="WQ89" s="33"/>
      <c r="WR89" s="33"/>
      <c r="WS89" s="137"/>
      <c r="WT89" s="33"/>
      <c r="WU89" s="33"/>
      <c r="WV89" s="33"/>
      <c r="WW89" s="33"/>
      <c r="WX89" s="33"/>
      <c r="WY89" s="74"/>
      <c r="WZ89" s="33"/>
      <c r="XA89" s="33"/>
      <c r="XB89" s="33"/>
      <c r="XC89" s="33"/>
      <c r="XD89" s="33"/>
      <c r="XE89" s="137"/>
      <c r="XF89" s="33"/>
      <c r="XG89" s="33"/>
      <c r="XH89" s="33"/>
      <c r="XI89" s="33"/>
      <c r="XJ89" s="33"/>
      <c r="XK89" s="74"/>
      <c r="XL89" s="64"/>
      <c r="XM89" s="64"/>
      <c r="XN89" s="64"/>
      <c r="XO89" s="64"/>
      <c r="XP89" s="33"/>
      <c r="XQ89" s="137"/>
      <c r="XR89" s="33"/>
      <c r="XS89" s="33"/>
      <c r="XT89" s="33"/>
      <c r="XU89" s="33"/>
      <c r="XV89" s="33"/>
      <c r="XW89" s="74"/>
      <c r="XX89" s="33"/>
      <c r="XY89" s="33"/>
      <c r="XZ89" s="33"/>
      <c r="YA89" s="33"/>
      <c r="YB89" s="33"/>
      <c r="YC89" s="137"/>
      <c r="YD89" s="33"/>
      <c r="YE89" s="33"/>
      <c r="YF89" s="33"/>
      <c r="YG89" s="33"/>
      <c r="YH89" s="33"/>
      <c r="YI89" s="74"/>
      <c r="YJ89" s="33"/>
      <c r="YK89" s="33"/>
      <c r="YL89" s="33"/>
      <c r="YM89" s="33"/>
      <c r="YN89" s="33"/>
      <c r="YO89" s="34"/>
      <c r="YP89" s="32"/>
      <c r="YQ89" s="64"/>
      <c r="YR89" s="64"/>
      <c r="YS89" s="64"/>
      <c r="YT89" s="33"/>
      <c r="YU89" s="132"/>
      <c r="YV89" s="33"/>
      <c r="YW89" s="33"/>
      <c r="YX89" s="33"/>
      <c r="YY89" s="33"/>
      <c r="YZ89" s="33"/>
      <c r="ZA89" s="137"/>
      <c r="ZB89" s="33"/>
      <c r="ZC89" s="33"/>
      <c r="ZD89" s="33"/>
      <c r="ZE89" s="33"/>
      <c r="ZF89" s="33"/>
      <c r="ZG89" s="74"/>
      <c r="ZH89" s="33"/>
      <c r="ZI89" s="33"/>
      <c r="ZJ89" s="33"/>
      <c r="ZK89" s="33"/>
      <c r="ZL89" s="33"/>
      <c r="ZM89" s="137"/>
      <c r="ZN89" s="33"/>
      <c r="ZO89" s="33"/>
      <c r="ZP89" s="33"/>
      <c r="ZQ89" s="33"/>
      <c r="ZR89" s="33"/>
      <c r="ZS89" s="74"/>
      <c r="ZT89" s="64"/>
      <c r="ZU89" s="64"/>
      <c r="ZV89" s="64"/>
      <c r="ZW89" s="64"/>
      <c r="ZX89" s="33"/>
      <c r="ZY89" s="137"/>
      <c r="ZZ89" s="33"/>
      <c r="AAA89" s="33"/>
      <c r="AAB89" s="33"/>
      <c r="AAC89" s="33"/>
      <c r="AAD89" s="33"/>
      <c r="AAE89" s="74"/>
      <c r="AAF89" s="33"/>
      <c r="AAG89" s="33"/>
      <c r="AAH89" s="33"/>
      <c r="AAI89" s="33"/>
      <c r="AAJ89" s="33"/>
      <c r="AAK89" s="137"/>
      <c r="AAL89" s="33"/>
      <c r="AAM89" s="33"/>
      <c r="AAN89" s="33"/>
      <c r="AAO89" s="33"/>
      <c r="AAP89" s="33"/>
      <c r="AAQ89" s="74"/>
      <c r="AAR89" s="33"/>
      <c r="AAS89" s="33"/>
      <c r="AAT89" s="33"/>
      <c r="AAU89" s="33"/>
      <c r="AAV89" s="33"/>
      <c r="AAW89" s="34"/>
      <c r="AAX89" s="32"/>
      <c r="AAY89" s="64"/>
      <c r="AAZ89" s="64"/>
      <c r="ABA89" s="64"/>
      <c r="ABB89" s="33"/>
      <c r="ABC89" s="132"/>
      <c r="ABD89" s="33"/>
      <c r="ABE89" s="33"/>
      <c r="ABF89" s="33"/>
      <c r="ABG89" s="33"/>
      <c r="ABH89" s="33"/>
      <c r="ABI89" s="137"/>
      <c r="ABJ89" s="33"/>
      <c r="ABK89" s="33"/>
      <c r="ABL89" s="33"/>
      <c r="ABM89" s="33"/>
      <c r="ABN89" s="33"/>
      <c r="ABO89" s="74"/>
      <c r="ABP89" s="33"/>
      <c r="ABQ89" s="33"/>
      <c r="ABR89" s="33"/>
      <c r="ABS89" s="33"/>
      <c r="ABT89" s="33"/>
      <c r="ABU89" s="137"/>
      <c r="ABV89" s="33"/>
      <c r="ABW89" s="33"/>
      <c r="ABX89" s="33"/>
      <c r="ABY89" s="33"/>
      <c r="ABZ89" s="33"/>
      <c r="ACA89" s="74"/>
      <c r="ACB89" s="64"/>
      <c r="ACC89" s="64"/>
      <c r="ACD89" s="64"/>
      <c r="ACE89" s="64"/>
      <c r="ACF89" s="33"/>
      <c r="ACG89" s="137"/>
      <c r="ACH89" s="33"/>
      <c r="ACI89" s="33"/>
      <c r="ACJ89" s="33"/>
      <c r="ACK89" s="33"/>
      <c r="ACL89" s="33"/>
      <c r="ACM89" s="74"/>
      <c r="ACN89" s="33"/>
      <c r="ACO89" s="33"/>
      <c r="ACP89" s="33"/>
      <c r="ACQ89" s="33"/>
      <c r="ACR89" s="33"/>
      <c r="ACS89" s="137"/>
      <c r="ACT89" s="33"/>
      <c r="ACU89" s="33"/>
      <c r="ACV89" s="33"/>
      <c r="ACW89" s="33"/>
      <c r="ACX89" s="33"/>
      <c r="ACY89" s="74"/>
      <c r="ACZ89" s="33"/>
      <c r="ADA89" s="33"/>
      <c r="ADB89" s="33"/>
      <c r="ADC89" s="33"/>
      <c r="ADD89" s="33"/>
      <c r="ADE89" s="34"/>
      <c r="ADF89" s="32"/>
      <c r="ADG89" s="64"/>
      <c r="ADH89" s="64"/>
      <c r="ADI89" s="64"/>
      <c r="ADJ89" s="33"/>
      <c r="ADK89" s="132"/>
      <c r="ADL89" s="33"/>
      <c r="ADM89" s="33"/>
      <c r="ADN89" s="33"/>
      <c r="ADO89" s="33"/>
      <c r="ADP89" s="33"/>
      <c r="ADQ89" s="137"/>
      <c r="ADR89" s="33"/>
      <c r="ADS89" s="33"/>
      <c r="ADT89" s="33"/>
      <c r="ADU89" s="33"/>
      <c r="ADV89" s="33"/>
      <c r="ADW89" s="74"/>
      <c r="ADX89" s="33"/>
      <c r="ADY89" s="33"/>
      <c r="ADZ89" s="33"/>
      <c r="AEA89" s="33"/>
      <c r="AEB89" s="33"/>
      <c r="AEC89" s="137"/>
      <c r="AED89" s="33"/>
      <c r="AEE89" s="33"/>
      <c r="AEF89" s="33"/>
      <c r="AEG89" s="33"/>
      <c r="AEH89" s="33"/>
      <c r="AEI89" s="74"/>
      <c r="AEJ89" s="64"/>
      <c r="AEK89" s="64"/>
      <c r="AEL89" s="64"/>
      <c r="AEM89" s="64"/>
      <c r="AEN89" s="33"/>
      <c r="AEO89" s="137"/>
      <c r="AEP89" s="33"/>
      <c r="AEQ89" s="33"/>
      <c r="AER89" s="33"/>
      <c r="AES89" s="33"/>
      <c r="AET89" s="33"/>
      <c r="AEU89" s="74"/>
      <c r="AEV89" s="33"/>
      <c r="AEW89" s="33"/>
      <c r="AEX89" s="33"/>
      <c r="AEY89" s="33"/>
      <c r="AEZ89" s="33"/>
      <c r="AFA89" s="137"/>
      <c r="AFB89" s="33"/>
      <c r="AFC89" s="33"/>
      <c r="AFD89" s="33"/>
      <c r="AFE89" s="33"/>
      <c r="AFF89" s="33"/>
      <c r="AFG89" s="74"/>
      <c r="AFH89" s="33"/>
      <c r="AFI89" s="33"/>
      <c r="AFJ89" s="33"/>
      <c r="AFK89" s="33"/>
      <c r="AFL89" s="33"/>
      <c r="AFM89" s="34"/>
      <c r="AFN89" s="90"/>
    </row>
    <row r="90" spans="1:846" ht="20.100000000000001" customHeight="1" x14ac:dyDescent="0.3">
      <c r="A90" s="100" t="s">
        <v>21</v>
      </c>
      <c r="B90" s="63"/>
      <c r="C90" s="219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36"/>
      <c r="RS90" s="65"/>
      <c r="RT90" s="65"/>
      <c r="RU90" s="65"/>
      <c r="RV90" s="37"/>
      <c r="RW90" s="133"/>
      <c r="RX90" s="37"/>
      <c r="RY90" s="37"/>
      <c r="RZ90" s="37"/>
      <c r="SA90" s="37"/>
      <c r="SB90" s="37"/>
      <c r="SC90" s="138"/>
      <c r="SD90" s="37"/>
      <c r="SE90" s="37"/>
      <c r="SF90" s="37"/>
      <c r="SG90" s="37"/>
      <c r="SH90" s="37"/>
      <c r="SI90" s="75"/>
      <c r="SJ90" s="37"/>
      <c r="SK90" s="37"/>
      <c r="SL90" s="37"/>
      <c r="SM90" s="37"/>
      <c r="SN90" s="37"/>
      <c r="SO90" s="138"/>
      <c r="SP90" s="37"/>
      <c r="SQ90" s="37"/>
      <c r="SR90" s="37"/>
      <c r="SS90" s="37"/>
      <c r="ST90" s="37"/>
      <c r="SU90" s="75"/>
      <c r="SV90" s="65"/>
      <c r="SW90" s="65"/>
      <c r="SX90" s="65"/>
      <c r="SY90" s="65"/>
      <c r="SZ90" s="37"/>
      <c r="TA90" s="138"/>
      <c r="TB90" s="37"/>
      <c r="TC90" s="37"/>
      <c r="TD90" s="37"/>
      <c r="TE90" s="37"/>
      <c r="TF90" s="37"/>
      <c r="TG90" s="75"/>
      <c r="TH90" s="37"/>
      <c r="TI90" s="37"/>
      <c r="TJ90" s="37"/>
      <c r="TK90" s="37"/>
      <c r="TL90" s="37"/>
      <c r="TM90" s="138"/>
      <c r="TN90" s="37"/>
      <c r="TO90" s="37"/>
      <c r="TP90" s="37"/>
      <c r="TQ90" s="37"/>
      <c r="TR90" s="37"/>
      <c r="TS90" s="75"/>
      <c r="TT90" s="37"/>
      <c r="TU90" s="37"/>
      <c r="TV90" s="37"/>
      <c r="TW90" s="37"/>
      <c r="TX90" s="37"/>
      <c r="TY90" s="38"/>
      <c r="TZ90" s="36"/>
      <c r="UA90" s="65"/>
      <c r="UB90" s="65"/>
      <c r="UC90" s="65"/>
      <c r="UD90" s="37"/>
      <c r="UE90" s="133"/>
      <c r="UF90" s="37"/>
      <c r="UG90" s="37"/>
      <c r="UH90" s="37"/>
      <c r="UI90" s="37"/>
      <c r="UJ90" s="37"/>
      <c r="UK90" s="138"/>
      <c r="UL90" s="37"/>
      <c r="UM90" s="37"/>
      <c r="UN90" s="37"/>
      <c r="UO90" s="37"/>
      <c r="UP90" s="37"/>
      <c r="UQ90" s="75"/>
      <c r="UR90" s="37"/>
      <c r="US90" s="37"/>
      <c r="UT90" s="37"/>
      <c r="UU90" s="37"/>
      <c r="UV90" s="37"/>
      <c r="UW90" s="138"/>
      <c r="UX90" s="37"/>
      <c r="UY90" s="37"/>
      <c r="UZ90" s="37"/>
      <c r="VA90" s="37"/>
      <c r="VB90" s="37"/>
      <c r="VC90" s="75"/>
      <c r="VD90" s="65"/>
      <c r="VE90" s="65"/>
      <c r="VF90" s="65"/>
      <c r="VG90" s="65"/>
      <c r="VH90" s="37"/>
      <c r="VI90" s="138"/>
      <c r="VJ90" s="37"/>
      <c r="VK90" s="37"/>
      <c r="VL90" s="37"/>
      <c r="VM90" s="37"/>
      <c r="VN90" s="37"/>
      <c r="VO90" s="75"/>
      <c r="VP90" s="37"/>
      <c r="VQ90" s="37"/>
      <c r="VR90" s="37"/>
      <c r="VS90" s="37"/>
      <c r="VT90" s="37"/>
      <c r="VU90" s="138"/>
      <c r="VV90" s="37"/>
      <c r="VW90" s="37"/>
      <c r="VX90" s="37"/>
      <c r="VY90" s="37"/>
      <c r="VZ90" s="37"/>
      <c r="WA90" s="75"/>
      <c r="WB90" s="37"/>
      <c r="WC90" s="37"/>
      <c r="WD90" s="37"/>
      <c r="WE90" s="37"/>
      <c r="WF90" s="37"/>
      <c r="WG90" s="38"/>
      <c r="WH90" s="36"/>
      <c r="WI90" s="65"/>
      <c r="WJ90" s="65"/>
      <c r="WK90" s="65"/>
      <c r="WL90" s="37"/>
      <c r="WM90" s="133"/>
      <c r="WN90" s="37"/>
      <c r="WO90" s="37"/>
      <c r="WP90" s="37"/>
      <c r="WQ90" s="37"/>
      <c r="WR90" s="37"/>
      <c r="WS90" s="138"/>
      <c r="WT90" s="37"/>
      <c r="WU90" s="37"/>
      <c r="WV90" s="37"/>
      <c r="WW90" s="37"/>
      <c r="WX90" s="37"/>
      <c r="WY90" s="75"/>
      <c r="WZ90" s="37"/>
      <c r="XA90" s="37"/>
      <c r="XB90" s="37"/>
      <c r="XC90" s="37"/>
      <c r="XD90" s="37"/>
      <c r="XE90" s="138"/>
      <c r="XF90" s="37"/>
      <c r="XG90" s="37"/>
      <c r="XH90" s="37"/>
      <c r="XI90" s="37"/>
      <c r="XJ90" s="37"/>
      <c r="XK90" s="75"/>
      <c r="XL90" s="65"/>
      <c r="XM90" s="65"/>
      <c r="XN90" s="65"/>
      <c r="XO90" s="65"/>
      <c r="XP90" s="37"/>
      <c r="XQ90" s="138"/>
      <c r="XR90" s="37"/>
      <c r="XS90" s="37"/>
      <c r="XT90" s="37"/>
      <c r="XU90" s="37"/>
      <c r="XV90" s="37"/>
      <c r="XW90" s="75"/>
      <c r="XX90" s="37"/>
      <c r="XY90" s="37"/>
      <c r="XZ90" s="37"/>
      <c r="YA90" s="37"/>
      <c r="YB90" s="37"/>
      <c r="YC90" s="138"/>
      <c r="YD90" s="37"/>
      <c r="YE90" s="37"/>
      <c r="YF90" s="37"/>
      <c r="YG90" s="37"/>
      <c r="YH90" s="37"/>
      <c r="YI90" s="75"/>
      <c r="YJ90" s="37"/>
      <c r="YK90" s="37"/>
      <c r="YL90" s="37"/>
      <c r="YM90" s="37"/>
      <c r="YN90" s="37"/>
      <c r="YO90" s="38"/>
      <c r="YP90" s="36"/>
      <c r="YQ90" s="65"/>
      <c r="YR90" s="65"/>
      <c r="YS90" s="65"/>
      <c r="YT90" s="37"/>
      <c r="YU90" s="133"/>
      <c r="YV90" s="37"/>
      <c r="YW90" s="37"/>
      <c r="YX90" s="37"/>
      <c r="YY90" s="37"/>
      <c r="YZ90" s="37"/>
      <c r="ZA90" s="138"/>
      <c r="ZB90" s="37"/>
      <c r="ZC90" s="37"/>
      <c r="ZD90" s="37"/>
      <c r="ZE90" s="37"/>
      <c r="ZF90" s="37"/>
      <c r="ZG90" s="75"/>
      <c r="ZH90" s="37"/>
      <c r="ZI90" s="37"/>
      <c r="ZJ90" s="37"/>
      <c r="ZK90" s="37"/>
      <c r="ZL90" s="37"/>
      <c r="ZM90" s="138"/>
      <c r="ZN90" s="37"/>
      <c r="ZO90" s="37"/>
      <c r="ZP90" s="37"/>
      <c r="ZQ90" s="37"/>
      <c r="ZR90" s="37"/>
      <c r="ZS90" s="75"/>
      <c r="ZT90" s="65"/>
      <c r="ZU90" s="65"/>
      <c r="ZV90" s="65"/>
      <c r="ZW90" s="65"/>
      <c r="ZX90" s="37"/>
      <c r="ZY90" s="138"/>
      <c r="ZZ90" s="37"/>
      <c r="AAA90" s="37"/>
      <c r="AAB90" s="37"/>
      <c r="AAC90" s="37"/>
      <c r="AAD90" s="37"/>
      <c r="AAE90" s="75"/>
      <c r="AAF90" s="37"/>
      <c r="AAG90" s="37"/>
      <c r="AAH90" s="37"/>
      <c r="AAI90" s="37"/>
      <c r="AAJ90" s="37"/>
      <c r="AAK90" s="138"/>
      <c r="AAL90" s="37"/>
      <c r="AAM90" s="37"/>
      <c r="AAN90" s="37"/>
      <c r="AAO90" s="37"/>
      <c r="AAP90" s="37"/>
      <c r="AAQ90" s="75"/>
      <c r="AAR90" s="37"/>
      <c r="AAS90" s="37"/>
      <c r="AAT90" s="37"/>
      <c r="AAU90" s="37"/>
      <c r="AAV90" s="37"/>
      <c r="AAW90" s="38"/>
      <c r="AAX90" s="36"/>
      <c r="AAY90" s="65"/>
      <c r="AAZ90" s="65"/>
      <c r="ABA90" s="65"/>
      <c r="ABB90" s="37"/>
      <c r="ABC90" s="133"/>
      <c r="ABD90" s="37"/>
      <c r="ABE90" s="37"/>
      <c r="ABF90" s="37"/>
      <c r="ABG90" s="37"/>
      <c r="ABH90" s="37"/>
      <c r="ABI90" s="138"/>
      <c r="ABJ90" s="37"/>
      <c r="ABK90" s="37"/>
      <c r="ABL90" s="37"/>
      <c r="ABM90" s="37"/>
      <c r="ABN90" s="37"/>
      <c r="ABO90" s="75"/>
      <c r="ABP90" s="37"/>
      <c r="ABQ90" s="37"/>
      <c r="ABR90" s="37"/>
      <c r="ABS90" s="37"/>
      <c r="ABT90" s="37"/>
      <c r="ABU90" s="138"/>
      <c r="ABV90" s="37"/>
      <c r="ABW90" s="37"/>
      <c r="ABX90" s="37"/>
      <c r="ABY90" s="37"/>
      <c r="ABZ90" s="37"/>
      <c r="ACA90" s="75"/>
      <c r="ACB90" s="65"/>
      <c r="ACC90" s="65"/>
      <c r="ACD90" s="65"/>
      <c r="ACE90" s="65"/>
      <c r="ACF90" s="37"/>
      <c r="ACG90" s="138"/>
      <c r="ACH90" s="37"/>
      <c r="ACI90" s="37"/>
      <c r="ACJ90" s="37"/>
      <c r="ACK90" s="37"/>
      <c r="ACL90" s="37"/>
      <c r="ACM90" s="75"/>
      <c r="ACN90" s="37"/>
      <c r="ACO90" s="37"/>
      <c r="ACP90" s="37"/>
      <c r="ACQ90" s="37"/>
      <c r="ACR90" s="37"/>
      <c r="ACS90" s="138"/>
      <c r="ACT90" s="37"/>
      <c r="ACU90" s="37"/>
      <c r="ACV90" s="37"/>
      <c r="ACW90" s="37"/>
      <c r="ACX90" s="37"/>
      <c r="ACY90" s="75"/>
      <c r="ACZ90" s="37"/>
      <c r="ADA90" s="37"/>
      <c r="ADB90" s="37"/>
      <c r="ADC90" s="37"/>
      <c r="ADD90" s="37"/>
      <c r="ADE90" s="38"/>
      <c r="ADF90" s="36"/>
      <c r="ADG90" s="65"/>
      <c r="ADH90" s="65"/>
      <c r="ADI90" s="65"/>
      <c r="ADJ90" s="37"/>
      <c r="ADK90" s="133"/>
      <c r="ADL90" s="37"/>
      <c r="ADM90" s="37"/>
      <c r="ADN90" s="37"/>
      <c r="ADO90" s="37"/>
      <c r="ADP90" s="37"/>
      <c r="ADQ90" s="138"/>
      <c r="ADR90" s="37"/>
      <c r="ADS90" s="37"/>
      <c r="ADT90" s="37"/>
      <c r="ADU90" s="37"/>
      <c r="ADV90" s="37"/>
      <c r="ADW90" s="75"/>
      <c r="ADX90" s="37"/>
      <c r="ADY90" s="37"/>
      <c r="ADZ90" s="37"/>
      <c r="AEA90" s="37"/>
      <c r="AEB90" s="37"/>
      <c r="AEC90" s="138"/>
      <c r="AED90" s="37"/>
      <c r="AEE90" s="37"/>
      <c r="AEF90" s="37"/>
      <c r="AEG90" s="37"/>
      <c r="AEH90" s="37"/>
      <c r="AEI90" s="75"/>
      <c r="AEJ90" s="65"/>
      <c r="AEK90" s="65"/>
      <c r="AEL90" s="65"/>
      <c r="AEM90" s="65"/>
      <c r="AEN90" s="37"/>
      <c r="AEO90" s="138"/>
      <c r="AEP90" s="37"/>
      <c r="AEQ90" s="37"/>
      <c r="AER90" s="37"/>
      <c r="AES90" s="37"/>
      <c r="AET90" s="37"/>
      <c r="AEU90" s="75"/>
      <c r="AEV90" s="37"/>
      <c r="AEW90" s="37"/>
      <c r="AEX90" s="37"/>
      <c r="AEY90" s="37"/>
      <c r="AEZ90" s="37"/>
      <c r="AFA90" s="138"/>
      <c r="AFB90" s="37"/>
      <c r="AFC90" s="37"/>
      <c r="AFD90" s="37"/>
      <c r="AFE90" s="37"/>
      <c r="AFF90" s="37"/>
      <c r="AFG90" s="75"/>
      <c r="AFH90" s="37"/>
      <c r="AFI90" s="37"/>
      <c r="AFJ90" s="37"/>
      <c r="AFK90" s="37"/>
      <c r="AFL90" s="37"/>
      <c r="AFM90" s="38"/>
      <c r="AFN90" s="90"/>
    </row>
    <row r="91" spans="1:846" ht="20.100000000000001" customHeight="1" x14ac:dyDescent="0.25">
      <c r="A91" s="100" t="s">
        <v>20</v>
      </c>
      <c r="B91" s="63"/>
      <c r="C91" s="218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40"/>
      <c r="RS91" s="66"/>
      <c r="RT91" s="66"/>
      <c r="RU91" s="66"/>
      <c r="RV91" s="41"/>
      <c r="RW91" s="134"/>
      <c r="RX91" s="41"/>
      <c r="RY91" s="41"/>
      <c r="RZ91" s="41"/>
      <c r="SA91" s="41"/>
      <c r="SB91" s="41"/>
      <c r="SC91" s="139"/>
      <c r="SD91" s="41"/>
      <c r="SE91" s="41"/>
      <c r="SF91" s="41"/>
      <c r="SG91" s="41"/>
      <c r="SH91" s="41"/>
      <c r="SI91" s="76"/>
      <c r="SJ91" s="41"/>
      <c r="SK91" s="41"/>
      <c r="SL91" s="41"/>
      <c r="SM91" s="41"/>
      <c r="SN91" s="41"/>
      <c r="SO91" s="139"/>
      <c r="SP91" s="41"/>
      <c r="SQ91" s="41"/>
      <c r="SR91" s="41"/>
      <c r="SS91" s="41"/>
      <c r="ST91" s="41"/>
      <c r="SU91" s="76"/>
      <c r="SV91" s="66"/>
      <c r="SW91" s="66"/>
      <c r="SX91" s="66"/>
      <c r="SY91" s="66"/>
      <c r="SZ91" s="41"/>
      <c r="TA91" s="139"/>
      <c r="TB91" s="41"/>
      <c r="TC91" s="41"/>
      <c r="TD91" s="41"/>
      <c r="TE91" s="41"/>
      <c r="TF91" s="41"/>
      <c r="TG91" s="76"/>
      <c r="TH91" s="41"/>
      <c r="TI91" s="41"/>
      <c r="TJ91" s="41"/>
      <c r="TK91" s="41"/>
      <c r="TL91" s="41"/>
      <c r="TM91" s="139"/>
      <c r="TN91" s="41"/>
      <c r="TO91" s="41"/>
      <c r="TP91" s="41"/>
      <c r="TQ91" s="41"/>
      <c r="TR91" s="41"/>
      <c r="TS91" s="76"/>
      <c r="TT91" s="41"/>
      <c r="TU91" s="41"/>
      <c r="TV91" s="41"/>
      <c r="TW91" s="41"/>
      <c r="TX91" s="41"/>
      <c r="TY91" s="42"/>
      <c r="TZ91" s="40"/>
      <c r="UA91" s="66"/>
      <c r="UB91" s="66"/>
      <c r="UC91" s="66"/>
      <c r="UD91" s="41"/>
      <c r="UE91" s="134"/>
      <c r="UF91" s="41"/>
      <c r="UG91" s="41"/>
      <c r="UH91" s="41"/>
      <c r="UI91" s="41"/>
      <c r="UJ91" s="41"/>
      <c r="UK91" s="139"/>
      <c r="UL91" s="41"/>
      <c r="UM91" s="41"/>
      <c r="UN91" s="41"/>
      <c r="UO91" s="41"/>
      <c r="UP91" s="41"/>
      <c r="UQ91" s="76"/>
      <c r="UR91" s="41"/>
      <c r="US91" s="41"/>
      <c r="UT91" s="41"/>
      <c r="UU91" s="41"/>
      <c r="UV91" s="41"/>
      <c r="UW91" s="139"/>
      <c r="UX91" s="41"/>
      <c r="UY91" s="41"/>
      <c r="UZ91" s="41"/>
      <c r="VA91" s="41"/>
      <c r="VB91" s="41"/>
      <c r="VC91" s="76"/>
      <c r="VD91" s="66"/>
      <c r="VE91" s="66"/>
      <c r="VF91" s="66"/>
      <c r="VG91" s="66"/>
      <c r="VH91" s="41"/>
      <c r="VI91" s="139"/>
      <c r="VJ91" s="41"/>
      <c r="VK91" s="41"/>
      <c r="VL91" s="41"/>
      <c r="VM91" s="41"/>
      <c r="VN91" s="41"/>
      <c r="VO91" s="76"/>
      <c r="VP91" s="41"/>
      <c r="VQ91" s="41"/>
      <c r="VR91" s="41"/>
      <c r="VS91" s="41"/>
      <c r="VT91" s="41"/>
      <c r="VU91" s="139"/>
      <c r="VV91" s="41"/>
      <c r="VW91" s="41"/>
      <c r="VX91" s="41"/>
      <c r="VY91" s="41"/>
      <c r="VZ91" s="41"/>
      <c r="WA91" s="76"/>
      <c r="WB91" s="41"/>
      <c r="WC91" s="41"/>
      <c r="WD91" s="41"/>
      <c r="WE91" s="41"/>
      <c r="WF91" s="41"/>
      <c r="WG91" s="42"/>
      <c r="WH91" s="40"/>
      <c r="WI91" s="66"/>
      <c r="WJ91" s="66"/>
      <c r="WK91" s="66"/>
      <c r="WL91" s="41"/>
      <c r="WM91" s="134"/>
      <c r="WN91" s="41"/>
      <c r="WO91" s="41"/>
      <c r="WP91" s="41"/>
      <c r="WQ91" s="41"/>
      <c r="WR91" s="41"/>
      <c r="WS91" s="139"/>
      <c r="WT91" s="41"/>
      <c r="WU91" s="41"/>
      <c r="WV91" s="41"/>
      <c r="WW91" s="41"/>
      <c r="WX91" s="41"/>
      <c r="WY91" s="76"/>
      <c r="WZ91" s="41"/>
      <c r="XA91" s="41"/>
      <c r="XB91" s="41"/>
      <c r="XC91" s="41"/>
      <c r="XD91" s="41"/>
      <c r="XE91" s="139"/>
      <c r="XF91" s="41"/>
      <c r="XG91" s="41"/>
      <c r="XH91" s="41"/>
      <c r="XI91" s="41"/>
      <c r="XJ91" s="41"/>
      <c r="XK91" s="76"/>
      <c r="XL91" s="66"/>
      <c r="XM91" s="66"/>
      <c r="XN91" s="66"/>
      <c r="XO91" s="66"/>
      <c r="XP91" s="41"/>
      <c r="XQ91" s="139"/>
      <c r="XR91" s="41"/>
      <c r="XS91" s="41"/>
      <c r="XT91" s="41"/>
      <c r="XU91" s="41"/>
      <c r="XV91" s="41"/>
      <c r="XW91" s="76"/>
      <c r="XX91" s="41"/>
      <c r="XY91" s="41"/>
      <c r="XZ91" s="41"/>
      <c r="YA91" s="41"/>
      <c r="YB91" s="41"/>
      <c r="YC91" s="139"/>
      <c r="YD91" s="41"/>
      <c r="YE91" s="41"/>
      <c r="YF91" s="41"/>
      <c r="YG91" s="41"/>
      <c r="YH91" s="41"/>
      <c r="YI91" s="76"/>
      <c r="YJ91" s="41"/>
      <c r="YK91" s="41"/>
      <c r="YL91" s="41"/>
      <c r="YM91" s="41"/>
      <c r="YN91" s="41"/>
      <c r="YO91" s="42"/>
      <c r="YP91" s="40"/>
      <c r="YQ91" s="66"/>
      <c r="YR91" s="66"/>
      <c r="YS91" s="66"/>
      <c r="YT91" s="41"/>
      <c r="YU91" s="134"/>
      <c r="YV91" s="41"/>
      <c r="YW91" s="41"/>
      <c r="YX91" s="41"/>
      <c r="YY91" s="41"/>
      <c r="YZ91" s="41"/>
      <c r="ZA91" s="139"/>
      <c r="ZB91" s="41"/>
      <c r="ZC91" s="41"/>
      <c r="ZD91" s="41"/>
      <c r="ZE91" s="41"/>
      <c r="ZF91" s="41"/>
      <c r="ZG91" s="76"/>
      <c r="ZH91" s="41"/>
      <c r="ZI91" s="41"/>
      <c r="ZJ91" s="41"/>
      <c r="ZK91" s="41"/>
      <c r="ZL91" s="41"/>
      <c r="ZM91" s="139"/>
      <c r="ZN91" s="41"/>
      <c r="ZO91" s="41"/>
      <c r="ZP91" s="41"/>
      <c r="ZQ91" s="41"/>
      <c r="ZR91" s="41"/>
      <c r="ZS91" s="76"/>
      <c r="ZT91" s="66"/>
      <c r="ZU91" s="66"/>
      <c r="ZV91" s="66"/>
      <c r="ZW91" s="66"/>
      <c r="ZX91" s="41"/>
      <c r="ZY91" s="139"/>
      <c r="ZZ91" s="41"/>
      <c r="AAA91" s="41"/>
      <c r="AAB91" s="41"/>
      <c r="AAC91" s="41"/>
      <c r="AAD91" s="41"/>
      <c r="AAE91" s="76"/>
      <c r="AAF91" s="41"/>
      <c r="AAG91" s="41"/>
      <c r="AAH91" s="41"/>
      <c r="AAI91" s="41"/>
      <c r="AAJ91" s="41"/>
      <c r="AAK91" s="139"/>
      <c r="AAL91" s="41"/>
      <c r="AAM91" s="41"/>
      <c r="AAN91" s="41"/>
      <c r="AAO91" s="41"/>
      <c r="AAP91" s="41"/>
      <c r="AAQ91" s="76"/>
      <c r="AAR91" s="41"/>
      <c r="AAS91" s="41"/>
      <c r="AAT91" s="41"/>
      <c r="AAU91" s="41"/>
      <c r="AAV91" s="41"/>
      <c r="AAW91" s="42"/>
      <c r="AAX91" s="40"/>
      <c r="AAY91" s="66"/>
      <c r="AAZ91" s="66"/>
      <c r="ABA91" s="66"/>
      <c r="ABB91" s="41"/>
      <c r="ABC91" s="134"/>
      <c r="ABD91" s="41"/>
      <c r="ABE91" s="41"/>
      <c r="ABF91" s="41"/>
      <c r="ABG91" s="41"/>
      <c r="ABH91" s="41"/>
      <c r="ABI91" s="139"/>
      <c r="ABJ91" s="41"/>
      <c r="ABK91" s="41"/>
      <c r="ABL91" s="41"/>
      <c r="ABM91" s="41"/>
      <c r="ABN91" s="41"/>
      <c r="ABO91" s="76"/>
      <c r="ABP91" s="41"/>
      <c r="ABQ91" s="41"/>
      <c r="ABR91" s="41"/>
      <c r="ABS91" s="41"/>
      <c r="ABT91" s="41"/>
      <c r="ABU91" s="139"/>
      <c r="ABV91" s="41"/>
      <c r="ABW91" s="41"/>
      <c r="ABX91" s="41"/>
      <c r="ABY91" s="41"/>
      <c r="ABZ91" s="41"/>
      <c r="ACA91" s="76"/>
      <c r="ACB91" s="66"/>
      <c r="ACC91" s="66"/>
      <c r="ACD91" s="66"/>
      <c r="ACE91" s="66"/>
      <c r="ACF91" s="41"/>
      <c r="ACG91" s="139"/>
      <c r="ACH91" s="41"/>
      <c r="ACI91" s="41"/>
      <c r="ACJ91" s="41"/>
      <c r="ACK91" s="41"/>
      <c r="ACL91" s="41"/>
      <c r="ACM91" s="76"/>
      <c r="ACN91" s="41"/>
      <c r="ACO91" s="41"/>
      <c r="ACP91" s="41"/>
      <c r="ACQ91" s="41"/>
      <c r="ACR91" s="41"/>
      <c r="ACS91" s="139"/>
      <c r="ACT91" s="41"/>
      <c r="ACU91" s="41"/>
      <c r="ACV91" s="41"/>
      <c r="ACW91" s="41"/>
      <c r="ACX91" s="41"/>
      <c r="ACY91" s="76"/>
      <c r="ACZ91" s="41"/>
      <c r="ADA91" s="41"/>
      <c r="ADB91" s="41"/>
      <c r="ADC91" s="41"/>
      <c r="ADD91" s="41"/>
      <c r="ADE91" s="42"/>
      <c r="ADF91" s="40"/>
      <c r="ADG91" s="66"/>
      <c r="ADH91" s="66"/>
      <c r="ADI91" s="66"/>
      <c r="ADJ91" s="41"/>
      <c r="ADK91" s="134"/>
      <c r="ADL91" s="41"/>
      <c r="ADM91" s="41"/>
      <c r="ADN91" s="41"/>
      <c r="ADO91" s="41"/>
      <c r="ADP91" s="41"/>
      <c r="ADQ91" s="139"/>
      <c r="ADR91" s="41"/>
      <c r="ADS91" s="41"/>
      <c r="ADT91" s="41"/>
      <c r="ADU91" s="41"/>
      <c r="ADV91" s="41"/>
      <c r="ADW91" s="76"/>
      <c r="ADX91" s="41"/>
      <c r="ADY91" s="41"/>
      <c r="ADZ91" s="41"/>
      <c r="AEA91" s="41"/>
      <c r="AEB91" s="41"/>
      <c r="AEC91" s="139"/>
      <c r="AED91" s="41"/>
      <c r="AEE91" s="41"/>
      <c r="AEF91" s="41"/>
      <c r="AEG91" s="41"/>
      <c r="AEH91" s="41"/>
      <c r="AEI91" s="76"/>
      <c r="AEJ91" s="66"/>
      <c r="AEK91" s="66"/>
      <c r="AEL91" s="66"/>
      <c r="AEM91" s="66"/>
      <c r="AEN91" s="41"/>
      <c r="AEO91" s="139"/>
      <c r="AEP91" s="41"/>
      <c r="AEQ91" s="41"/>
      <c r="AER91" s="41"/>
      <c r="AES91" s="41"/>
      <c r="AET91" s="41"/>
      <c r="AEU91" s="76"/>
      <c r="AEV91" s="41"/>
      <c r="AEW91" s="41"/>
      <c r="AEX91" s="41"/>
      <c r="AEY91" s="41"/>
      <c r="AEZ91" s="41"/>
      <c r="AFA91" s="139"/>
      <c r="AFB91" s="41"/>
      <c r="AFC91" s="41"/>
      <c r="AFD91" s="41"/>
      <c r="AFE91" s="41"/>
      <c r="AFF91" s="41"/>
      <c r="AFG91" s="76"/>
      <c r="AFH91" s="41"/>
      <c r="AFI91" s="41"/>
      <c r="AFJ91" s="41"/>
      <c r="AFK91" s="41"/>
      <c r="AFL91" s="41"/>
      <c r="AFM91" s="42"/>
      <c r="AFN91" s="90"/>
    </row>
    <row r="92" spans="1:846" ht="20.100000000000001" customHeight="1" x14ac:dyDescent="0.3">
      <c r="A92" s="100" t="s">
        <v>21</v>
      </c>
      <c r="B92" s="63"/>
      <c r="C92" s="219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28"/>
      <c r="RS92" s="67"/>
      <c r="RT92" s="67"/>
      <c r="RU92" s="67"/>
      <c r="RV92" s="29"/>
      <c r="RW92" s="133"/>
      <c r="RX92" s="29"/>
      <c r="RY92" s="29"/>
      <c r="RZ92" s="29"/>
      <c r="SA92" s="29"/>
      <c r="SB92" s="29"/>
      <c r="SC92" s="138"/>
      <c r="SD92" s="29"/>
      <c r="SE92" s="29"/>
      <c r="SF92" s="29"/>
      <c r="SG92" s="29"/>
      <c r="SH92" s="29"/>
      <c r="SI92" s="75"/>
      <c r="SJ92" s="29"/>
      <c r="SK92" s="29"/>
      <c r="SL92" s="29"/>
      <c r="SM92" s="29"/>
      <c r="SN92" s="29"/>
      <c r="SO92" s="138"/>
      <c r="SP92" s="29"/>
      <c r="SQ92" s="29"/>
      <c r="SR92" s="29"/>
      <c r="SS92" s="29"/>
      <c r="ST92" s="29"/>
      <c r="SU92" s="75"/>
      <c r="SV92" s="67"/>
      <c r="SW92" s="67"/>
      <c r="SX92" s="67"/>
      <c r="SY92" s="67"/>
      <c r="SZ92" s="29"/>
      <c r="TA92" s="138"/>
      <c r="TB92" s="29"/>
      <c r="TC92" s="29"/>
      <c r="TD92" s="29"/>
      <c r="TE92" s="29"/>
      <c r="TF92" s="29"/>
      <c r="TG92" s="75"/>
      <c r="TH92" s="29"/>
      <c r="TI92" s="29"/>
      <c r="TJ92" s="29"/>
      <c r="TK92" s="29"/>
      <c r="TL92" s="29"/>
      <c r="TM92" s="138"/>
      <c r="TN92" s="29"/>
      <c r="TO92" s="29"/>
      <c r="TP92" s="29"/>
      <c r="TQ92" s="29"/>
      <c r="TR92" s="29"/>
      <c r="TS92" s="75"/>
      <c r="TT92" s="29"/>
      <c r="TU92" s="29"/>
      <c r="TV92" s="29"/>
      <c r="TW92" s="29"/>
      <c r="TX92" s="29"/>
      <c r="TY92" s="30"/>
      <c r="TZ92" s="28"/>
      <c r="UA92" s="67"/>
      <c r="UB92" s="67"/>
      <c r="UC92" s="67"/>
      <c r="UD92" s="29"/>
      <c r="UE92" s="133"/>
      <c r="UF92" s="29"/>
      <c r="UG92" s="29"/>
      <c r="UH92" s="29"/>
      <c r="UI92" s="29"/>
      <c r="UJ92" s="29"/>
      <c r="UK92" s="138"/>
      <c r="UL92" s="29"/>
      <c r="UM92" s="29"/>
      <c r="UN92" s="29"/>
      <c r="UO92" s="29"/>
      <c r="UP92" s="29"/>
      <c r="UQ92" s="75"/>
      <c r="UR92" s="29"/>
      <c r="US92" s="29"/>
      <c r="UT92" s="29"/>
      <c r="UU92" s="29"/>
      <c r="UV92" s="29"/>
      <c r="UW92" s="138"/>
      <c r="UX92" s="29"/>
      <c r="UY92" s="29"/>
      <c r="UZ92" s="29"/>
      <c r="VA92" s="29"/>
      <c r="VB92" s="29"/>
      <c r="VC92" s="75"/>
      <c r="VD92" s="67"/>
      <c r="VE92" s="67"/>
      <c r="VF92" s="67"/>
      <c r="VG92" s="67"/>
      <c r="VH92" s="29"/>
      <c r="VI92" s="138"/>
      <c r="VJ92" s="29"/>
      <c r="VK92" s="29"/>
      <c r="VL92" s="29"/>
      <c r="VM92" s="29"/>
      <c r="VN92" s="29"/>
      <c r="VO92" s="75"/>
      <c r="VP92" s="29"/>
      <c r="VQ92" s="29"/>
      <c r="VR92" s="29"/>
      <c r="VS92" s="29"/>
      <c r="VT92" s="29"/>
      <c r="VU92" s="138"/>
      <c r="VV92" s="29"/>
      <c r="VW92" s="29"/>
      <c r="VX92" s="29"/>
      <c r="VY92" s="29"/>
      <c r="VZ92" s="29"/>
      <c r="WA92" s="75"/>
      <c r="WB92" s="29"/>
      <c r="WC92" s="29"/>
      <c r="WD92" s="29"/>
      <c r="WE92" s="29"/>
      <c r="WF92" s="29"/>
      <c r="WG92" s="30"/>
      <c r="WH92" s="28"/>
      <c r="WI92" s="67"/>
      <c r="WJ92" s="67"/>
      <c r="WK92" s="67"/>
      <c r="WL92" s="29"/>
      <c r="WM92" s="133"/>
      <c r="WN92" s="29"/>
      <c r="WO92" s="29"/>
      <c r="WP92" s="29"/>
      <c r="WQ92" s="29"/>
      <c r="WR92" s="29"/>
      <c r="WS92" s="138"/>
      <c r="WT92" s="29"/>
      <c r="WU92" s="29"/>
      <c r="WV92" s="29"/>
      <c r="WW92" s="29"/>
      <c r="WX92" s="29"/>
      <c r="WY92" s="75"/>
      <c r="WZ92" s="29"/>
      <c r="XA92" s="29"/>
      <c r="XB92" s="29"/>
      <c r="XC92" s="29"/>
      <c r="XD92" s="29"/>
      <c r="XE92" s="138"/>
      <c r="XF92" s="29"/>
      <c r="XG92" s="29"/>
      <c r="XH92" s="29"/>
      <c r="XI92" s="29"/>
      <c r="XJ92" s="29"/>
      <c r="XK92" s="75"/>
      <c r="XL92" s="67"/>
      <c r="XM92" s="67"/>
      <c r="XN92" s="67"/>
      <c r="XO92" s="67"/>
      <c r="XP92" s="29"/>
      <c r="XQ92" s="138"/>
      <c r="XR92" s="29"/>
      <c r="XS92" s="29"/>
      <c r="XT92" s="29"/>
      <c r="XU92" s="29"/>
      <c r="XV92" s="29"/>
      <c r="XW92" s="75"/>
      <c r="XX92" s="29"/>
      <c r="XY92" s="29"/>
      <c r="XZ92" s="29"/>
      <c r="YA92" s="29"/>
      <c r="YB92" s="29"/>
      <c r="YC92" s="138"/>
      <c r="YD92" s="29"/>
      <c r="YE92" s="29"/>
      <c r="YF92" s="29"/>
      <c r="YG92" s="29"/>
      <c r="YH92" s="29"/>
      <c r="YI92" s="75"/>
      <c r="YJ92" s="29"/>
      <c r="YK92" s="29"/>
      <c r="YL92" s="29"/>
      <c r="YM92" s="29"/>
      <c r="YN92" s="29"/>
      <c r="YO92" s="30"/>
      <c r="YP92" s="28"/>
      <c r="YQ92" s="67"/>
      <c r="YR92" s="67"/>
      <c r="YS92" s="67"/>
      <c r="YT92" s="29"/>
      <c r="YU92" s="133"/>
      <c r="YV92" s="29"/>
      <c r="YW92" s="29"/>
      <c r="YX92" s="29"/>
      <c r="YY92" s="29"/>
      <c r="YZ92" s="29"/>
      <c r="ZA92" s="138"/>
      <c r="ZB92" s="29"/>
      <c r="ZC92" s="29"/>
      <c r="ZD92" s="29"/>
      <c r="ZE92" s="29"/>
      <c r="ZF92" s="29"/>
      <c r="ZG92" s="75"/>
      <c r="ZH92" s="29"/>
      <c r="ZI92" s="29"/>
      <c r="ZJ92" s="29"/>
      <c r="ZK92" s="29"/>
      <c r="ZL92" s="29"/>
      <c r="ZM92" s="138"/>
      <c r="ZN92" s="29"/>
      <c r="ZO92" s="29"/>
      <c r="ZP92" s="29"/>
      <c r="ZQ92" s="29"/>
      <c r="ZR92" s="29"/>
      <c r="ZS92" s="75"/>
      <c r="ZT92" s="67"/>
      <c r="ZU92" s="67"/>
      <c r="ZV92" s="67"/>
      <c r="ZW92" s="67"/>
      <c r="ZX92" s="29"/>
      <c r="ZY92" s="138"/>
      <c r="ZZ92" s="29"/>
      <c r="AAA92" s="29"/>
      <c r="AAB92" s="29"/>
      <c r="AAC92" s="29"/>
      <c r="AAD92" s="29"/>
      <c r="AAE92" s="75"/>
      <c r="AAF92" s="29"/>
      <c r="AAG92" s="29"/>
      <c r="AAH92" s="29"/>
      <c r="AAI92" s="29"/>
      <c r="AAJ92" s="29"/>
      <c r="AAK92" s="138"/>
      <c r="AAL92" s="29"/>
      <c r="AAM92" s="29"/>
      <c r="AAN92" s="29"/>
      <c r="AAO92" s="29"/>
      <c r="AAP92" s="29"/>
      <c r="AAQ92" s="75"/>
      <c r="AAR92" s="29"/>
      <c r="AAS92" s="29"/>
      <c r="AAT92" s="29"/>
      <c r="AAU92" s="29"/>
      <c r="AAV92" s="29"/>
      <c r="AAW92" s="30"/>
      <c r="AAX92" s="28"/>
      <c r="AAY92" s="67"/>
      <c r="AAZ92" s="67"/>
      <c r="ABA92" s="67"/>
      <c r="ABB92" s="29"/>
      <c r="ABC92" s="133"/>
      <c r="ABD92" s="29"/>
      <c r="ABE92" s="29"/>
      <c r="ABF92" s="29"/>
      <c r="ABG92" s="29"/>
      <c r="ABH92" s="29"/>
      <c r="ABI92" s="138"/>
      <c r="ABJ92" s="29"/>
      <c r="ABK92" s="29"/>
      <c r="ABL92" s="29"/>
      <c r="ABM92" s="29"/>
      <c r="ABN92" s="29"/>
      <c r="ABO92" s="75"/>
      <c r="ABP92" s="29"/>
      <c r="ABQ92" s="29"/>
      <c r="ABR92" s="29"/>
      <c r="ABS92" s="29"/>
      <c r="ABT92" s="29"/>
      <c r="ABU92" s="138"/>
      <c r="ABV92" s="29"/>
      <c r="ABW92" s="29"/>
      <c r="ABX92" s="29"/>
      <c r="ABY92" s="29"/>
      <c r="ABZ92" s="29"/>
      <c r="ACA92" s="75"/>
      <c r="ACB92" s="67"/>
      <c r="ACC92" s="67"/>
      <c r="ACD92" s="67"/>
      <c r="ACE92" s="67"/>
      <c r="ACF92" s="29"/>
      <c r="ACG92" s="138"/>
      <c r="ACH92" s="29"/>
      <c r="ACI92" s="29"/>
      <c r="ACJ92" s="29"/>
      <c r="ACK92" s="29"/>
      <c r="ACL92" s="29"/>
      <c r="ACM92" s="75"/>
      <c r="ACN92" s="29"/>
      <c r="ACO92" s="29"/>
      <c r="ACP92" s="29"/>
      <c r="ACQ92" s="29"/>
      <c r="ACR92" s="29"/>
      <c r="ACS92" s="138"/>
      <c r="ACT92" s="29"/>
      <c r="ACU92" s="29"/>
      <c r="ACV92" s="29"/>
      <c r="ACW92" s="29"/>
      <c r="ACX92" s="29"/>
      <c r="ACY92" s="75"/>
      <c r="ACZ92" s="29"/>
      <c r="ADA92" s="29"/>
      <c r="ADB92" s="29"/>
      <c r="ADC92" s="29"/>
      <c r="ADD92" s="29"/>
      <c r="ADE92" s="30"/>
      <c r="ADF92" s="28"/>
      <c r="ADG92" s="67"/>
      <c r="ADH92" s="67"/>
      <c r="ADI92" s="67"/>
      <c r="ADJ92" s="29"/>
      <c r="ADK92" s="133"/>
      <c r="ADL92" s="29"/>
      <c r="ADM92" s="29"/>
      <c r="ADN92" s="29"/>
      <c r="ADO92" s="29"/>
      <c r="ADP92" s="29"/>
      <c r="ADQ92" s="138"/>
      <c r="ADR92" s="29"/>
      <c r="ADS92" s="29"/>
      <c r="ADT92" s="29"/>
      <c r="ADU92" s="29"/>
      <c r="ADV92" s="29"/>
      <c r="ADW92" s="75"/>
      <c r="ADX92" s="29"/>
      <c r="ADY92" s="29"/>
      <c r="ADZ92" s="29"/>
      <c r="AEA92" s="29"/>
      <c r="AEB92" s="29"/>
      <c r="AEC92" s="138"/>
      <c r="AED92" s="29"/>
      <c r="AEE92" s="29"/>
      <c r="AEF92" s="29"/>
      <c r="AEG92" s="29"/>
      <c r="AEH92" s="29"/>
      <c r="AEI92" s="75"/>
      <c r="AEJ92" s="67"/>
      <c r="AEK92" s="67"/>
      <c r="AEL92" s="67"/>
      <c r="AEM92" s="67"/>
      <c r="AEN92" s="29"/>
      <c r="AEO92" s="138"/>
      <c r="AEP92" s="29"/>
      <c r="AEQ92" s="29"/>
      <c r="AER92" s="29"/>
      <c r="AES92" s="29"/>
      <c r="AET92" s="29"/>
      <c r="AEU92" s="75"/>
      <c r="AEV92" s="29"/>
      <c r="AEW92" s="29"/>
      <c r="AEX92" s="29"/>
      <c r="AEY92" s="29"/>
      <c r="AEZ92" s="29"/>
      <c r="AFA92" s="138"/>
      <c r="AFB92" s="29"/>
      <c r="AFC92" s="29"/>
      <c r="AFD92" s="29"/>
      <c r="AFE92" s="29"/>
      <c r="AFF92" s="29"/>
      <c r="AFG92" s="75"/>
      <c r="AFH92" s="29"/>
      <c r="AFI92" s="29"/>
      <c r="AFJ92" s="29"/>
      <c r="AFK92" s="29"/>
      <c r="AFL92" s="29"/>
      <c r="AFM92" s="30"/>
      <c r="AFN92" s="90"/>
    </row>
    <row r="93" spans="1:846" ht="20.100000000000001" customHeight="1" x14ac:dyDescent="0.25">
      <c r="A93" s="100" t="s">
        <v>20</v>
      </c>
      <c r="B93" s="63"/>
      <c r="C93" s="218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32"/>
      <c r="RS93" s="64"/>
      <c r="RT93" s="64"/>
      <c r="RU93" s="64"/>
      <c r="RV93" s="33"/>
      <c r="RW93" s="132"/>
      <c r="RX93" s="33"/>
      <c r="RY93" s="33"/>
      <c r="RZ93" s="33"/>
      <c r="SA93" s="33"/>
      <c r="SB93" s="33"/>
      <c r="SC93" s="137"/>
      <c r="SD93" s="33"/>
      <c r="SE93" s="33"/>
      <c r="SF93" s="33"/>
      <c r="SG93" s="33"/>
      <c r="SH93" s="33"/>
      <c r="SI93" s="74"/>
      <c r="SJ93" s="33"/>
      <c r="SK93" s="33"/>
      <c r="SL93" s="33"/>
      <c r="SM93" s="33"/>
      <c r="SN93" s="33"/>
      <c r="SO93" s="137"/>
      <c r="SP93" s="33"/>
      <c r="SQ93" s="33"/>
      <c r="SR93" s="33"/>
      <c r="SS93" s="33"/>
      <c r="ST93" s="33"/>
      <c r="SU93" s="74"/>
      <c r="SV93" s="64"/>
      <c r="SW93" s="64"/>
      <c r="SX93" s="64"/>
      <c r="SY93" s="64"/>
      <c r="SZ93" s="33"/>
      <c r="TA93" s="137"/>
      <c r="TB93" s="33"/>
      <c r="TC93" s="33"/>
      <c r="TD93" s="33"/>
      <c r="TE93" s="33"/>
      <c r="TF93" s="33"/>
      <c r="TG93" s="74"/>
      <c r="TH93" s="33"/>
      <c r="TI93" s="33"/>
      <c r="TJ93" s="33"/>
      <c r="TK93" s="33"/>
      <c r="TL93" s="33"/>
      <c r="TM93" s="137"/>
      <c r="TN93" s="33"/>
      <c r="TO93" s="33"/>
      <c r="TP93" s="33"/>
      <c r="TQ93" s="33"/>
      <c r="TR93" s="33"/>
      <c r="TS93" s="74"/>
      <c r="TT93" s="33"/>
      <c r="TU93" s="33"/>
      <c r="TV93" s="33"/>
      <c r="TW93" s="33"/>
      <c r="TX93" s="33"/>
      <c r="TY93" s="34"/>
      <c r="TZ93" s="32"/>
      <c r="UA93" s="64"/>
      <c r="UB93" s="64"/>
      <c r="UC93" s="64"/>
      <c r="UD93" s="33"/>
      <c r="UE93" s="132"/>
      <c r="UF93" s="33"/>
      <c r="UG93" s="33"/>
      <c r="UH93" s="33"/>
      <c r="UI93" s="33"/>
      <c r="UJ93" s="33"/>
      <c r="UK93" s="137"/>
      <c r="UL93" s="33"/>
      <c r="UM93" s="33"/>
      <c r="UN93" s="33"/>
      <c r="UO93" s="33"/>
      <c r="UP93" s="33"/>
      <c r="UQ93" s="74"/>
      <c r="UR93" s="33"/>
      <c r="US93" s="33"/>
      <c r="UT93" s="33"/>
      <c r="UU93" s="33"/>
      <c r="UV93" s="33"/>
      <c r="UW93" s="137"/>
      <c r="UX93" s="33"/>
      <c r="UY93" s="33"/>
      <c r="UZ93" s="33"/>
      <c r="VA93" s="33"/>
      <c r="VB93" s="33"/>
      <c r="VC93" s="74"/>
      <c r="VD93" s="64"/>
      <c r="VE93" s="64"/>
      <c r="VF93" s="64"/>
      <c r="VG93" s="64"/>
      <c r="VH93" s="33"/>
      <c r="VI93" s="137"/>
      <c r="VJ93" s="33"/>
      <c r="VK93" s="33"/>
      <c r="VL93" s="33"/>
      <c r="VM93" s="33"/>
      <c r="VN93" s="33"/>
      <c r="VO93" s="74"/>
      <c r="VP93" s="33"/>
      <c r="VQ93" s="33"/>
      <c r="VR93" s="33"/>
      <c r="VS93" s="33"/>
      <c r="VT93" s="33"/>
      <c r="VU93" s="137"/>
      <c r="VV93" s="33"/>
      <c r="VW93" s="33"/>
      <c r="VX93" s="33"/>
      <c r="VY93" s="33"/>
      <c r="VZ93" s="33"/>
      <c r="WA93" s="74"/>
      <c r="WB93" s="33"/>
      <c r="WC93" s="33"/>
      <c r="WD93" s="33"/>
      <c r="WE93" s="33"/>
      <c r="WF93" s="33"/>
      <c r="WG93" s="34"/>
      <c r="WH93" s="32"/>
      <c r="WI93" s="64"/>
      <c r="WJ93" s="64"/>
      <c r="WK93" s="64"/>
      <c r="WL93" s="33"/>
      <c r="WM93" s="132"/>
      <c r="WN93" s="33"/>
      <c r="WO93" s="33"/>
      <c r="WP93" s="33"/>
      <c r="WQ93" s="33"/>
      <c r="WR93" s="33"/>
      <c r="WS93" s="137"/>
      <c r="WT93" s="33"/>
      <c r="WU93" s="33"/>
      <c r="WV93" s="33"/>
      <c r="WW93" s="33"/>
      <c r="WX93" s="33"/>
      <c r="WY93" s="74"/>
      <c r="WZ93" s="33"/>
      <c r="XA93" s="33"/>
      <c r="XB93" s="33"/>
      <c r="XC93" s="33"/>
      <c r="XD93" s="33"/>
      <c r="XE93" s="137"/>
      <c r="XF93" s="33"/>
      <c r="XG93" s="33"/>
      <c r="XH93" s="33"/>
      <c r="XI93" s="33"/>
      <c r="XJ93" s="33"/>
      <c r="XK93" s="74"/>
      <c r="XL93" s="64"/>
      <c r="XM93" s="64"/>
      <c r="XN93" s="64"/>
      <c r="XO93" s="64"/>
      <c r="XP93" s="33"/>
      <c r="XQ93" s="137"/>
      <c r="XR93" s="33"/>
      <c r="XS93" s="33"/>
      <c r="XT93" s="33"/>
      <c r="XU93" s="33"/>
      <c r="XV93" s="33"/>
      <c r="XW93" s="74"/>
      <c r="XX93" s="33"/>
      <c r="XY93" s="33"/>
      <c r="XZ93" s="33"/>
      <c r="YA93" s="33"/>
      <c r="YB93" s="33"/>
      <c r="YC93" s="137"/>
      <c r="YD93" s="33"/>
      <c r="YE93" s="33"/>
      <c r="YF93" s="33"/>
      <c r="YG93" s="33"/>
      <c r="YH93" s="33"/>
      <c r="YI93" s="74"/>
      <c r="YJ93" s="33"/>
      <c r="YK93" s="33"/>
      <c r="YL93" s="33"/>
      <c r="YM93" s="33"/>
      <c r="YN93" s="33"/>
      <c r="YO93" s="34"/>
      <c r="YP93" s="32"/>
      <c r="YQ93" s="64"/>
      <c r="YR93" s="64"/>
      <c r="YS93" s="64"/>
      <c r="YT93" s="33"/>
      <c r="YU93" s="132"/>
      <c r="YV93" s="33"/>
      <c r="YW93" s="33"/>
      <c r="YX93" s="33"/>
      <c r="YY93" s="33"/>
      <c r="YZ93" s="33"/>
      <c r="ZA93" s="137"/>
      <c r="ZB93" s="33"/>
      <c r="ZC93" s="33"/>
      <c r="ZD93" s="33"/>
      <c r="ZE93" s="33"/>
      <c r="ZF93" s="33"/>
      <c r="ZG93" s="74"/>
      <c r="ZH93" s="33"/>
      <c r="ZI93" s="33"/>
      <c r="ZJ93" s="33"/>
      <c r="ZK93" s="33"/>
      <c r="ZL93" s="33"/>
      <c r="ZM93" s="137"/>
      <c r="ZN93" s="33"/>
      <c r="ZO93" s="33"/>
      <c r="ZP93" s="33"/>
      <c r="ZQ93" s="33"/>
      <c r="ZR93" s="33"/>
      <c r="ZS93" s="74"/>
      <c r="ZT93" s="64"/>
      <c r="ZU93" s="64"/>
      <c r="ZV93" s="64"/>
      <c r="ZW93" s="64"/>
      <c r="ZX93" s="33"/>
      <c r="ZY93" s="137"/>
      <c r="ZZ93" s="33"/>
      <c r="AAA93" s="33"/>
      <c r="AAB93" s="33"/>
      <c r="AAC93" s="33"/>
      <c r="AAD93" s="33"/>
      <c r="AAE93" s="74"/>
      <c r="AAF93" s="33"/>
      <c r="AAG93" s="33"/>
      <c r="AAH93" s="33"/>
      <c r="AAI93" s="33"/>
      <c r="AAJ93" s="33"/>
      <c r="AAK93" s="137"/>
      <c r="AAL93" s="33"/>
      <c r="AAM93" s="33"/>
      <c r="AAN93" s="33"/>
      <c r="AAO93" s="33"/>
      <c r="AAP93" s="33"/>
      <c r="AAQ93" s="74"/>
      <c r="AAR93" s="33"/>
      <c r="AAS93" s="33"/>
      <c r="AAT93" s="33"/>
      <c r="AAU93" s="33"/>
      <c r="AAV93" s="33"/>
      <c r="AAW93" s="34"/>
      <c r="AAX93" s="32"/>
      <c r="AAY93" s="64"/>
      <c r="AAZ93" s="64"/>
      <c r="ABA93" s="64"/>
      <c r="ABB93" s="33"/>
      <c r="ABC93" s="132"/>
      <c r="ABD93" s="33"/>
      <c r="ABE93" s="33"/>
      <c r="ABF93" s="33"/>
      <c r="ABG93" s="33"/>
      <c r="ABH93" s="33"/>
      <c r="ABI93" s="137"/>
      <c r="ABJ93" s="33"/>
      <c r="ABK93" s="33"/>
      <c r="ABL93" s="33"/>
      <c r="ABM93" s="33"/>
      <c r="ABN93" s="33"/>
      <c r="ABO93" s="74"/>
      <c r="ABP93" s="33"/>
      <c r="ABQ93" s="33"/>
      <c r="ABR93" s="33"/>
      <c r="ABS93" s="33"/>
      <c r="ABT93" s="33"/>
      <c r="ABU93" s="137"/>
      <c r="ABV93" s="33"/>
      <c r="ABW93" s="33"/>
      <c r="ABX93" s="33"/>
      <c r="ABY93" s="33"/>
      <c r="ABZ93" s="33"/>
      <c r="ACA93" s="74"/>
      <c r="ACB93" s="64"/>
      <c r="ACC93" s="64"/>
      <c r="ACD93" s="64"/>
      <c r="ACE93" s="64"/>
      <c r="ACF93" s="33"/>
      <c r="ACG93" s="137"/>
      <c r="ACH93" s="33"/>
      <c r="ACI93" s="33"/>
      <c r="ACJ93" s="33"/>
      <c r="ACK93" s="33"/>
      <c r="ACL93" s="33"/>
      <c r="ACM93" s="74"/>
      <c r="ACN93" s="33"/>
      <c r="ACO93" s="33"/>
      <c r="ACP93" s="33"/>
      <c r="ACQ93" s="33"/>
      <c r="ACR93" s="33"/>
      <c r="ACS93" s="137"/>
      <c r="ACT93" s="33"/>
      <c r="ACU93" s="33"/>
      <c r="ACV93" s="33"/>
      <c r="ACW93" s="33"/>
      <c r="ACX93" s="33"/>
      <c r="ACY93" s="74"/>
      <c r="ACZ93" s="33"/>
      <c r="ADA93" s="33"/>
      <c r="ADB93" s="33"/>
      <c r="ADC93" s="33"/>
      <c r="ADD93" s="33"/>
      <c r="ADE93" s="34"/>
      <c r="ADF93" s="32"/>
      <c r="ADG93" s="64"/>
      <c r="ADH93" s="64"/>
      <c r="ADI93" s="64"/>
      <c r="ADJ93" s="33"/>
      <c r="ADK93" s="132"/>
      <c r="ADL93" s="33"/>
      <c r="ADM93" s="33"/>
      <c r="ADN93" s="33"/>
      <c r="ADO93" s="33"/>
      <c r="ADP93" s="33"/>
      <c r="ADQ93" s="137"/>
      <c r="ADR93" s="33"/>
      <c r="ADS93" s="33"/>
      <c r="ADT93" s="33"/>
      <c r="ADU93" s="33"/>
      <c r="ADV93" s="33"/>
      <c r="ADW93" s="74"/>
      <c r="ADX93" s="33"/>
      <c r="ADY93" s="33"/>
      <c r="ADZ93" s="33"/>
      <c r="AEA93" s="33"/>
      <c r="AEB93" s="33"/>
      <c r="AEC93" s="137"/>
      <c r="AED93" s="33"/>
      <c r="AEE93" s="33"/>
      <c r="AEF93" s="33"/>
      <c r="AEG93" s="33"/>
      <c r="AEH93" s="33"/>
      <c r="AEI93" s="74"/>
      <c r="AEJ93" s="64"/>
      <c r="AEK93" s="64"/>
      <c r="AEL93" s="64"/>
      <c r="AEM93" s="64"/>
      <c r="AEN93" s="33"/>
      <c r="AEO93" s="137"/>
      <c r="AEP93" s="33"/>
      <c r="AEQ93" s="33"/>
      <c r="AER93" s="33"/>
      <c r="AES93" s="33"/>
      <c r="AET93" s="33"/>
      <c r="AEU93" s="74"/>
      <c r="AEV93" s="33"/>
      <c r="AEW93" s="33"/>
      <c r="AEX93" s="33"/>
      <c r="AEY93" s="33"/>
      <c r="AEZ93" s="33"/>
      <c r="AFA93" s="137"/>
      <c r="AFB93" s="33"/>
      <c r="AFC93" s="33"/>
      <c r="AFD93" s="33"/>
      <c r="AFE93" s="33"/>
      <c r="AFF93" s="33"/>
      <c r="AFG93" s="74"/>
      <c r="AFH93" s="33"/>
      <c r="AFI93" s="33"/>
      <c r="AFJ93" s="33"/>
      <c r="AFK93" s="33"/>
      <c r="AFL93" s="33"/>
      <c r="AFM93" s="34"/>
      <c r="AFN93" s="90"/>
    </row>
    <row r="94" spans="1:846" ht="20.100000000000001" customHeight="1" x14ac:dyDescent="0.25">
      <c r="A94" s="100" t="s">
        <v>21</v>
      </c>
      <c r="B94" s="63"/>
      <c r="C94" s="220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36"/>
      <c r="RS94" s="65"/>
      <c r="RT94" s="65"/>
      <c r="RU94" s="65"/>
      <c r="RV94" s="37"/>
      <c r="RW94" s="133"/>
      <c r="RX94" s="37"/>
      <c r="RY94" s="37"/>
      <c r="RZ94" s="37"/>
      <c r="SA94" s="37"/>
      <c r="SB94" s="37"/>
      <c r="SC94" s="138"/>
      <c r="SD94" s="37"/>
      <c r="SE94" s="37"/>
      <c r="SF94" s="37"/>
      <c r="SG94" s="37"/>
      <c r="SH94" s="37"/>
      <c r="SI94" s="75"/>
      <c r="SJ94" s="37"/>
      <c r="SK94" s="37"/>
      <c r="SL94" s="37"/>
      <c r="SM94" s="37"/>
      <c r="SN94" s="37"/>
      <c r="SO94" s="138"/>
      <c r="SP94" s="37"/>
      <c r="SQ94" s="37"/>
      <c r="SR94" s="37"/>
      <c r="SS94" s="37"/>
      <c r="ST94" s="37"/>
      <c r="SU94" s="75"/>
      <c r="SV94" s="65"/>
      <c r="SW94" s="65"/>
      <c r="SX94" s="65"/>
      <c r="SY94" s="65"/>
      <c r="SZ94" s="37"/>
      <c r="TA94" s="138"/>
      <c r="TB94" s="37"/>
      <c r="TC94" s="37"/>
      <c r="TD94" s="37"/>
      <c r="TE94" s="37"/>
      <c r="TF94" s="37"/>
      <c r="TG94" s="75"/>
      <c r="TH94" s="37"/>
      <c r="TI94" s="37"/>
      <c r="TJ94" s="37"/>
      <c r="TK94" s="37"/>
      <c r="TL94" s="37"/>
      <c r="TM94" s="138"/>
      <c r="TN94" s="37"/>
      <c r="TO94" s="37"/>
      <c r="TP94" s="37"/>
      <c r="TQ94" s="37"/>
      <c r="TR94" s="37"/>
      <c r="TS94" s="75"/>
      <c r="TT94" s="37"/>
      <c r="TU94" s="37"/>
      <c r="TV94" s="37"/>
      <c r="TW94" s="37"/>
      <c r="TX94" s="37"/>
      <c r="TY94" s="38"/>
      <c r="TZ94" s="36"/>
      <c r="UA94" s="65"/>
      <c r="UB94" s="65"/>
      <c r="UC94" s="65"/>
      <c r="UD94" s="37"/>
      <c r="UE94" s="133"/>
      <c r="UF94" s="37"/>
      <c r="UG94" s="37"/>
      <c r="UH94" s="37"/>
      <c r="UI94" s="37"/>
      <c r="UJ94" s="37"/>
      <c r="UK94" s="138"/>
      <c r="UL94" s="37"/>
      <c r="UM94" s="37"/>
      <c r="UN94" s="37"/>
      <c r="UO94" s="37"/>
      <c r="UP94" s="37"/>
      <c r="UQ94" s="75"/>
      <c r="UR94" s="37"/>
      <c r="US94" s="37"/>
      <c r="UT94" s="37"/>
      <c r="UU94" s="37"/>
      <c r="UV94" s="37"/>
      <c r="UW94" s="138"/>
      <c r="UX94" s="37"/>
      <c r="UY94" s="37"/>
      <c r="UZ94" s="37"/>
      <c r="VA94" s="37"/>
      <c r="VB94" s="37"/>
      <c r="VC94" s="75"/>
      <c r="VD94" s="65"/>
      <c r="VE94" s="65"/>
      <c r="VF94" s="65"/>
      <c r="VG94" s="65"/>
      <c r="VH94" s="37"/>
      <c r="VI94" s="138"/>
      <c r="VJ94" s="37"/>
      <c r="VK94" s="37"/>
      <c r="VL94" s="37"/>
      <c r="VM94" s="37"/>
      <c r="VN94" s="37"/>
      <c r="VO94" s="75"/>
      <c r="VP94" s="37"/>
      <c r="VQ94" s="37"/>
      <c r="VR94" s="37"/>
      <c r="VS94" s="37"/>
      <c r="VT94" s="37"/>
      <c r="VU94" s="138"/>
      <c r="VV94" s="37"/>
      <c r="VW94" s="37"/>
      <c r="VX94" s="37"/>
      <c r="VY94" s="37"/>
      <c r="VZ94" s="37"/>
      <c r="WA94" s="75"/>
      <c r="WB94" s="37"/>
      <c r="WC94" s="37"/>
      <c r="WD94" s="37"/>
      <c r="WE94" s="37"/>
      <c r="WF94" s="37"/>
      <c r="WG94" s="38"/>
      <c r="WH94" s="36"/>
      <c r="WI94" s="65"/>
      <c r="WJ94" s="65"/>
      <c r="WK94" s="65"/>
      <c r="WL94" s="37"/>
      <c r="WM94" s="133"/>
      <c r="WN94" s="37"/>
      <c r="WO94" s="37"/>
      <c r="WP94" s="37"/>
      <c r="WQ94" s="37"/>
      <c r="WR94" s="37"/>
      <c r="WS94" s="138"/>
      <c r="WT94" s="37"/>
      <c r="WU94" s="37"/>
      <c r="WV94" s="37"/>
      <c r="WW94" s="37"/>
      <c r="WX94" s="37"/>
      <c r="WY94" s="75"/>
      <c r="WZ94" s="37"/>
      <c r="XA94" s="37"/>
      <c r="XB94" s="37"/>
      <c r="XC94" s="37"/>
      <c r="XD94" s="37"/>
      <c r="XE94" s="138"/>
      <c r="XF94" s="37"/>
      <c r="XG94" s="37"/>
      <c r="XH94" s="37"/>
      <c r="XI94" s="37"/>
      <c r="XJ94" s="37"/>
      <c r="XK94" s="75"/>
      <c r="XL94" s="65"/>
      <c r="XM94" s="65"/>
      <c r="XN94" s="65"/>
      <c r="XO94" s="65"/>
      <c r="XP94" s="37"/>
      <c r="XQ94" s="138"/>
      <c r="XR94" s="37"/>
      <c r="XS94" s="37"/>
      <c r="XT94" s="37"/>
      <c r="XU94" s="37"/>
      <c r="XV94" s="37"/>
      <c r="XW94" s="75"/>
      <c r="XX94" s="37"/>
      <c r="XY94" s="37"/>
      <c r="XZ94" s="37"/>
      <c r="YA94" s="37"/>
      <c r="YB94" s="37"/>
      <c r="YC94" s="138"/>
      <c r="YD94" s="37"/>
      <c r="YE94" s="37"/>
      <c r="YF94" s="37"/>
      <c r="YG94" s="37"/>
      <c r="YH94" s="37"/>
      <c r="YI94" s="75"/>
      <c r="YJ94" s="37"/>
      <c r="YK94" s="37"/>
      <c r="YL94" s="37"/>
      <c r="YM94" s="37"/>
      <c r="YN94" s="37"/>
      <c r="YO94" s="38"/>
      <c r="YP94" s="36"/>
      <c r="YQ94" s="65"/>
      <c r="YR94" s="65"/>
      <c r="YS94" s="65"/>
      <c r="YT94" s="37"/>
      <c r="YU94" s="133"/>
      <c r="YV94" s="37"/>
      <c r="YW94" s="37"/>
      <c r="YX94" s="37"/>
      <c r="YY94" s="37"/>
      <c r="YZ94" s="37"/>
      <c r="ZA94" s="138"/>
      <c r="ZB94" s="37"/>
      <c r="ZC94" s="37"/>
      <c r="ZD94" s="37"/>
      <c r="ZE94" s="37"/>
      <c r="ZF94" s="37"/>
      <c r="ZG94" s="75"/>
      <c r="ZH94" s="37"/>
      <c r="ZI94" s="37"/>
      <c r="ZJ94" s="37"/>
      <c r="ZK94" s="37"/>
      <c r="ZL94" s="37"/>
      <c r="ZM94" s="138"/>
      <c r="ZN94" s="37"/>
      <c r="ZO94" s="37"/>
      <c r="ZP94" s="37"/>
      <c r="ZQ94" s="37"/>
      <c r="ZR94" s="37"/>
      <c r="ZS94" s="75"/>
      <c r="ZT94" s="65"/>
      <c r="ZU94" s="65"/>
      <c r="ZV94" s="65"/>
      <c r="ZW94" s="65"/>
      <c r="ZX94" s="37"/>
      <c r="ZY94" s="138"/>
      <c r="ZZ94" s="37"/>
      <c r="AAA94" s="37"/>
      <c r="AAB94" s="37"/>
      <c r="AAC94" s="37"/>
      <c r="AAD94" s="37"/>
      <c r="AAE94" s="75"/>
      <c r="AAF94" s="37"/>
      <c r="AAG94" s="37"/>
      <c r="AAH94" s="37"/>
      <c r="AAI94" s="37"/>
      <c r="AAJ94" s="37"/>
      <c r="AAK94" s="138"/>
      <c r="AAL94" s="37"/>
      <c r="AAM94" s="37"/>
      <c r="AAN94" s="37"/>
      <c r="AAO94" s="37"/>
      <c r="AAP94" s="37"/>
      <c r="AAQ94" s="75"/>
      <c r="AAR94" s="37"/>
      <c r="AAS94" s="37"/>
      <c r="AAT94" s="37"/>
      <c r="AAU94" s="37"/>
      <c r="AAV94" s="37"/>
      <c r="AAW94" s="38"/>
      <c r="AAX94" s="36"/>
      <c r="AAY94" s="65"/>
      <c r="AAZ94" s="65"/>
      <c r="ABA94" s="65"/>
      <c r="ABB94" s="37"/>
      <c r="ABC94" s="133"/>
      <c r="ABD94" s="37"/>
      <c r="ABE94" s="37"/>
      <c r="ABF94" s="37"/>
      <c r="ABG94" s="37"/>
      <c r="ABH94" s="37"/>
      <c r="ABI94" s="138"/>
      <c r="ABJ94" s="37"/>
      <c r="ABK94" s="37"/>
      <c r="ABL94" s="37"/>
      <c r="ABM94" s="37"/>
      <c r="ABN94" s="37"/>
      <c r="ABO94" s="75"/>
      <c r="ABP94" s="37"/>
      <c r="ABQ94" s="37"/>
      <c r="ABR94" s="37"/>
      <c r="ABS94" s="37"/>
      <c r="ABT94" s="37"/>
      <c r="ABU94" s="138"/>
      <c r="ABV94" s="37"/>
      <c r="ABW94" s="37"/>
      <c r="ABX94" s="37"/>
      <c r="ABY94" s="37"/>
      <c r="ABZ94" s="37"/>
      <c r="ACA94" s="75"/>
      <c r="ACB94" s="65"/>
      <c r="ACC94" s="65"/>
      <c r="ACD94" s="65"/>
      <c r="ACE94" s="65"/>
      <c r="ACF94" s="37"/>
      <c r="ACG94" s="138"/>
      <c r="ACH94" s="37"/>
      <c r="ACI94" s="37"/>
      <c r="ACJ94" s="37"/>
      <c r="ACK94" s="37"/>
      <c r="ACL94" s="37"/>
      <c r="ACM94" s="75"/>
      <c r="ACN94" s="37"/>
      <c r="ACO94" s="37"/>
      <c r="ACP94" s="37"/>
      <c r="ACQ94" s="37"/>
      <c r="ACR94" s="37"/>
      <c r="ACS94" s="138"/>
      <c r="ACT94" s="37"/>
      <c r="ACU94" s="37"/>
      <c r="ACV94" s="37"/>
      <c r="ACW94" s="37"/>
      <c r="ACX94" s="37"/>
      <c r="ACY94" s="75"/>
      <c r="ACZ94" s="37"/>
      <c r="ADA94" s="37"/>
      <c r="ADB94" s="37"/>
      <c r="ADC94" s="37"/>
      <c r="ADD94" s="37"/>
      <c r="ADE94" s="38"/>
      <c r="ADF94" s="36"/>
      <c r="ADG94" s="65"/>
      <c r="ADH94" s="65"/>
      <c r="ADI94" s="65"/>
      <c r="ADJ94" s="37"/>
      <c r="ADK94" s="133"/>
      <c r="ADL94" s="37"/>
      <c r="ADM94" s="37"/>
      <c r="ADN94" s="37"/>
      <c r="ADO94" s="37"/>
      <c r="ADP94" s="37"/>
      <c r="ADQ94" s="138"/>
      <c r="ADR94" s="37"/>
      <c r="ADS94" s="37"/>
      <c r="ADT94" s="37"/>
      <c r="ADU94" s="37"/>
      <c r="ADV94" s="37"/>
      <c r="ADW94" s="75"/>
      <c r="ADX94" s="37"/>
      <c r="ADY94" s="37"/>
      <c r="ADZ94" s="37"/>
      <c r="AEA94" s="37"/>
      <c r="AEB94" s="37"/>
      <c r="AEC94" s="138"/>
      <c r="AED94" s="37"/>
      <c r="AEE94" s="37"/>
      <c r="AEF94" s="37"/>
      <c r="AEG94" s="37"/>
      <c r="AEH94" s="37"/>
      <c r="AEI94" s="75"/>
      <c r="AEJ94" s="65"/>
      <c r="AEK94" s="65"/>
      <c r="AEL94" s="65"/>
      <c r="AEM94" s="65"/>
      <c r="AEN94" s="37"/>
      <c r="AEO94" s="138"/>
      <c r="AEP94" s="37"/>
      <c r="AEQ94" s="37"/>
      <c r="AER94" s="37"/>
      <c r="AES94" s="37"/>
      <c r="AET94" s="37"/>
      <c r="AEU94" s="75"/>
      <c r="AEV94" s="37"/>
      <c r="AEW94" s="37"/>
      <c r="AEX94" s="37"/>
      <c r="AEY94" s="37"/>
      <c r="AEZ94" s="37"/>
      <c r="AFA94" s="138"/>
      <c r="AFB94" s="37"/>
      <c r="AFC94" s="37"/>
      <c r="AFD94" s="37"/>
      <c r="AFE94" s="37"/>
      <c r="AFF94" s="37"/>
      <c r="AFG94" s="75"/>
      <c r="AFH94" s="37"/>
      <c r="AFI94" s="37"/>
      <c r="AFJ94" s="37"/>
      <c r="AFK94" s="37"/>
      <c r="AFL94" s="37"/>
      <c r="AFM94" s="38"/>
      <c r="AFN94" s="90"/>
    </row>
    <row r="95" spans="1:846" ht="20.100000000000001" customHeight="1" x14ac:dyDescent="0.25">
      <c r="B95" s="96"/>
      <c r="C95" s="210" t="s">
        <v>9</v>
      </c>
      <c r="D95" s="211"/>
      <c r="E95" s="117">
        <f>SUM(E15,E17,E19,E21,E23,E25,E27,E29,E31,E33,E35,E37,E39,E41,E43,E45,E47,E49,E51,E53,E55,E57,E59,E61,E63,E65,E67,E69,E71,E73,E75,E77,E79,E81,E83,E85,E87,E89,E91,E93)</f>
        <v>513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70"/>
      <c r="RS95" s="69"/>
      <c r="RT95" s="69"/>
      <c r="RU95" s="69"/>
      <c r="RV95" s="69"/>
      <c r="RW95" s="69"/>
      <c r="RX95" s="69"/>
      <c r="RY95" s="69"/>
      <c r="RZ95" s="69"/>
      <c r="SA95" s="69"/>
      <c r="SB95" s="69"/>
      <c r="SC95" s="69"/>
      <c r="SD95" s="69"/>
      <c r="SE95" s="69"/>
      <c r="SF95" s="69"/>
      <c r="SG95" s="69"/>
      <c r="SH95" s="69"/>
      <c r="SI95" s="69"/>
      <c r="SJ95" s="69"/>
      <c r="SK95" s="69"/>
      <c r="SL95" s="69"/>
      <c r="SM95" s="69"/>
      <c r="SN95" s="69"/>
      <c r="SO95" s="69"/>
      <c r="SP95" s="69"/>
      <c r="SQ95" s="69"/>
      <c r="SR95" s="69"/>
      <c r="SS95" s="69"/>
      <c r="ST95" s="69"/>
      <c r="SU95" s="69"/>
      <c r="SV95" s="69"/>
      <c r="SW95" s="69"/>
      <c r="SX95" s="69"/>
      <c r="SY95" s="69"/>
      <c r="SZ95" s="69"/>
      <c r="TA95" s="69"/>
      <c r="TB95" s="69"/>
      <c r="TC95" s="69"/>
      <c r="TD95" s="69"/>
      <c r="TE95" s="69"/>
      <c r="TF95" s="69"/>
      <c r="TG95" s="69"/>
      <c r="TH95" s="69"/>
      <c r="TI95" s="69"/>
      <c r="TJ95" s="69"/>
      <c r="TK95" s="69"/>
      <c r="TL95" s="69"/>
      <c r="TM95" s="69"/>
      <c r="TN95" s="69"/>
      <c r="TO95" s="69"/>
      <c r="TP95" s="69"/>
      <c r="TQ95" s="69"/>
      <c r="TR95" s="69"/>
      <c r="TS95" s="69"/>
      <c r="TT95" s="69"/>
      <c r="TU95" s="69"/>
      <c r="TV95" s="69"/>
      <c r="TW95" s="69"/>
      <c r="TX95" s="69"/>
      <c r="TY95" s="85"/>
      <c r="TZ95" s="70"/>
      <c r="UA95" s="69"/>
      <c r="UB95" s="69"/>
      <c r="UC95" s="69"/>
      <c r="UD95" s="69"/>
      <c r="UE95" s="69"/>
      <c r="UF95" s="69"/>
      <c r="UG95" s="69"/>
      <c r="UH95" s="69"/>
      <c r="UI95" s="69"/>
      <c r="UJ95" s="69"/>
      <c r="UK95" s="69"/>
      <c r="UL95" s="69"/>
      <c r="UM95" s="69"/>
      <c r="UN95" s="69"/>
      <c r="UO95" s="69"/>
      <c r="UP95" s="69"/>
      <c r="UQ95" s="69"/>
      <c r="UR95" s="69"/>
      <c r="US95" s="69"/>
      <c r="UT95" s="69"/>
      <c r="UU95" s="69"/>
      <c r="UV95" s="69"/>
      <c r="UW95" s="69"/>
      <c r="UX95" s="69"/>
      <c r="UY95" s="69"/>
      <c r="UZ95" s="69"/>
      <c r="VA95" s="69"/>
      <c r="VB95" s="69"/>
      <c r="VC95" s="69"/>
      <c r="VD95" s="69"/>
      <c r="VE95" s="69"/>
      <c r="VF95" s="69"/>
      <c r="VG95" s="69"/>
      <c r="VH95" s="69"/>
      <c r="VI95" s="69"/>
      <c r="VJ95" s="69"/>
      <c r="VK95" s="69"/>
      <c r="VL95" s="69"/>
      <c r="VM95" s="69"/>
      <c r="VN95" s="69"/>
      <c r="VO95" s="69"/>
      <c r="VP95" s="69"/>
      <c r="VQ95" s="69"/>
      <c r="VR95" s="69"/>
      <c r="VS95" s="69"/>
      <c r="VT95" s="69"/>
      <c r="VU95" s="69"/>
      <c r="VV95" s="69"/>
      <c r="VW95" s="69"/>
      <c r="VX95" s="69"/>
      <c r="VY95" s="69"/>
      <c r="VZ95" s="69"/>
      <c r="WA95" s="69"/>
      <c r="WB95" s="69"/>
      <c r="WC95" s="69"/>
      <c r="WD95" s="69"/>
      <c r="WE95" s="69"/>
      <c r="WF95" s="69"/>
      <c r="WG95" s="85"/>
      <c r="WH95" s="70"/>
      <c r="WI95" s="69"/>
      <c r="WJ95" s="69"/>
      <c r="WK95" s="69"/>
      <c r="WL95" s="69"/>
      <c r="WM95" s="69"/>
      <c r="WN95" s="69"/>
      <c r="WO95" s="69"/>
      <c r="WP95" s="69"/>
      <c r="WQ95" s="69"/>
      <c r="WR95" s="69"/>
      <c r="WS95" s="69"/>
      <c r="WT95" s="69"/>
      <c r="WU95" s="69"/>
      <c r="WV95" s="69"/>
      <c r="WW95" s="69"/>
      <c r="WX95" s="69"/>
      <c r="WY95" s="69"/>
      <c r="WZ95" s="69"/>
      <c r="XA95" s="69"/>
      <c r="XB95" s="69"/>
      <c r="XC95" s="69"/>
      <c r="XD95" s="69"/>
      <c r="XE95" s="69"/>
      <c r="XF95" s="69"/>
      <c r="XG95" s="69"/>
      <c r="XH95" s="69"/>
      <c r="XI95" s="69"/>
      <c r="XJ95" s="69"/>
      <c r="XK95" s="69"/>
      <c r="XL95" s="69"/>
      <c r="XM95" s="69"/>
      <c r="XN95" s="69"/>
      <c r="XO95" s="69"/>
      <c r="XP95" s="69"/>
      <c r="XQ95" s="69"/>
      <c r="XR95" s="69"/>
      <c r="XS95" s="69"/>
      <c r="XT95" s="69"/>
      <c r="XU95" s="69"/>
      <c r="XV95" s="69"/>
      <c r="XW95" s="69"/>
      <c r="XX95" s="69"/>
      <c r="XY95" s="69"/>
      <c r="XZ95" s="69"/>
      <c r="YA95" s="69"/>
      <c r="YB95" s="69"/>
      <c r="YC95" s="69"/>
      <c r="YD95" s="69"/>
      <c r="YE95" s="69"/>
      <c r="YF95" s="69"/>
      <c r="YG95" s="69"/>
      <c r="YH95" s="69"/>
      <c r="YI95" s="69"/>
      <c r="YJ95" s="69"/>
      <c r="YK95" s="69"/>
      <c r="YL95" s="69"/>
      <c r="YM95" s="69"/>
      <c r="YN95" s="69"/>
      <c r="YO95" s="85"/>
      <c r="YP95" s="70"/>
      <c r="YQ95" s="69"/>
      <c r="YR95" s="69"/>
      <c r="YS95" s="69"/>
      <c r="YT95" s="69"/>
      <c r="YU95" s="69"/>
      <c r="YV95" s="69"/>
      <c r="YW95" s="69"/>
      <c r="YX95" s="69"/>
      <c r="YY95" s="69"/>
      <c r="YZ95" s="69"/>
      <c r="ZA95" s="69"/>
      <c r="ZB95" s="69"/>
      <c r="ZC95" s="69"/>
      <c r="ZD95" s="69"/>
      <c r="ZE95" s="69"/>
      <c r="ZF95" s="69"/>
      <c r="ZG95" s="69"/>
      <c r="ZH95" s="69"/>
      <c r="ZI95" s="69"/>
      <c r="ZJ95" s="69"/>
      <c r="ZK95" s="69"/>
      <c r="ZL95" s="69"/>
      <c r="ZM95" s="69"/>
      <c r="ZN95" s="69"/>
      <c r="ZO95" s="69"/>
      <c r="ZP95" s="69"/>
      <c r="ZQ95" s="69"/>
      <c r="ZR95" s="69"/>
      <c r="ZS95" s="69"/>
      <c r="ZT95" s="69"/>
      <c r="ZU95" s="69"/>
      <c r="ZV95" s="69"/>
      <c r="ZW95" s="69"/>
      <c r="ZX95" s="69"/>
      <c r="ZY95" s="69"/>
      <c r="ZZ95" s="69"/>
      <c r="AAA95" s="69"/>
      <c r="AAB95" s="69"/>
      <c r="AAC95" s="69"/>
      <c r="AAD95" s="69"/>
      <c r="AAE95" s="69"/>
      <c r="AAF95" s="69"/>
      <c r="AAG95" s="69"/>
      <c r="AAH95" s="69"/>
      <c r="AAI95" s="69"/>
      <c r="AAJ95" s="69"/>
      <c r="AAK95" s="69"/>
      <c r="AAL95" s="69"/>
      <c r="AAM95" s="69"/>
      <c r="AAN95" s="69"/>
      <c r="AAO95" s="69"/>
      <c r="AAP95" s="69"/>
      <c r="AAQ95" s="69"/>
      <c r="AAR95" s="69"/>
      <c r="AAS95" s="69"/>
      <c r="AAT95" s="69"/>
      <c r="AAU95" s="69"/>
      <c r="AAV95" s="69"/>
      <c r="AAW95" s="85"/>
      <c r="AAX95" s="70"/>
      <c r="AAY95" s="69"/>
      <c r="AAZ95" s="69"/>
      <c r="ABA95" s="69"/>
      <c r="ABB95" s="69"/>
      <c r="ABC95" s="69"/>
      <c r="ABD95" s="69"/>
      <c r="ABE95" s="69"/>
      <c r="ABF95" s="69"/>
      <c r="ABG95" s="69"/>
      <c r="ABH95" s="69"/>
      <c r="ABI95" s="69"/>
      <c r="ABJ95" s="69"/>
      <c r="ABK95" s="69"/>
      <c r="ABL95" s="69"/>
      <c r="ABM95" s="69"/>
      <c r="ABN95" s="69"/>
      <c r="ABO95" s="69"/>
      <c r="ABP95" s="69"/>
      <c r="ABQ95" s="69"/>
      <c r="ABR95" s="69"/>
      <c r="ABS95" s="69"/>
      <c r="ABT95" s="69"/>
      <c r="ABU95" s="69"/>
      <c r="ABV95" s="69"/>
      <c r="ABW95" s="69"/>
      <c r="ABX95" s="69"/>
      <c r="ABY95" s="69"/>
      <c r="ABZ95" s="69"/>
      <c r="ACA95" s="69"/>
      <c r="ACB95" s="69"/>
      <c r="ACC95" s="69"/>
      <c r="ACD95" s="69"/>
      <c r="ACE95" s="69"/>
      <c r="ACF95" s="69"/>
      <c r="ACG95" s="69"/>
      <c r="ACH95" s="69"/>
      <c r="ACI95" s="69"/>
      <c r="ACJ95" s="69"/>
      <c r="ACK95" s="69"/>
      <c r="ACL95" s="69"/>
      <c r="ACM95" s="69"/>
      <c r="ACN95" s="69"/>
      <c r="ACO95" s="69"/>
      <c r="ACP95" s="69"/>
      <c r="ACQ95" s="69"/>
      <c r="ACR95" s="69"/>
      <c r="ACS95" s="69"/>
      <c r="ACT95" s="69"/>
      <c r="ACU95" s="69"/>
      <c r="ACV95" s="69"/>
      <c r="ACW95" s="69"/>
      <c r="ACX95" s="69"/>
      <c r="ACY95" s="69"/>
      <c r="ACZ95" s="69"/>
      <c r="ADA95" s="69"/>
      <c r="ADB95" s="69"/>
      <c r="ADC95" s="69"/>
      <c r="ADD95" s="69"/>
      <c r="ADE95" s="85"/>
      <c r="ADF95" s="70"/>
      <c r="ADG95" s="69"/>
      <c r="ADH95" s="69"/>
      <c r="ADI95" s="69"/>
      <c r="ADJ95" s="69"/>
      <c r="ADK95" s="69"/>
      <c r="ADL95" s="69"/>
      <c r="ADM95" s="69"/>
      <c r="ADN95" s="69"/>
      <c r="ADO95" s="69"/>
      <c r="ADP95" s="69"/>
      <c r="ADQ95" s="69"/>
      <c r="ADR95" s="69"/>
      <c r="ADS95" s="69"/>
      <c r="ADT95" s="69"/>
      <c r="ADU95" s="69"/>
      <c r="ADV95" s="69"/>
      <c r="ADW95" s="69"/>
      <c r="ADX95" s="69"/>
      <c r="ADY95" s="69"/>
      <c r="ADZ95" s="69"/>
      <c r="AEA95" s="69"/>
      <c r="AEB95" s="69"/>
      <c r="AEC95" s="69"/>
      <c r="AED95" s="69"/>
      <c r="AEE95" s="69"/>
      <c r="AEF95" s="69"/>
      <c r="AEG95" s="69"/>
      <c r="AEH95" s="69"/>
      <c r="AEI95" s="69"/>
      <c r="AEJ95" s="69"/>
      <c r="AEK95" s="69"/>
      <c r="AEL95" s="69"/>
      <c r="AEM95" s="69"/>
      <c r="AEN95" s="69"/>
      <c r="AEO95" s="69"/>
      <c r="AEP95" s="69"/>
      <c r="AEQ95" s="69"/>
      <c r="AER95" s="69"/>
      <c r="AES95" s="69"/>
      <c r="AET95" s="69"/>
      <c r="AEU95" s="69"/>
      <c r="AEV95" s="69"/>
      <c r="AEW95" s="69"/>
      <c r="AEX95" s="69"/>
      <c r="AEY95" s="69"/>
      <c r="AEZ95" s="69"/>
      <c r="AFA95" s="69"/>
      <c r="AFB95" s="69"/>
      <c r="AFC95" s="69"/>
      <c r="AFD95" s="69"/>
      <c r="AFE95" s="69"/>
      <c r="AFF95" s="69"/>
      <c r="AFG95" s="69"/>
      <c r="AFH95" s="69"/>
      <c r="AFI95" s="69"/>
      <c r="AFJ95" s="69"/>
      <c r="AFK95" s="69"/>
      <c r="AFL95" s="69"/>
      <c r="AFM95" s="85"/>
      <c r="AFN95" s="90"/>
    </row>
    <row r="96" spans="1:846" ht="20.100000000000001" customHeight="1" thickBot="1" x14ac:dyDescent="0.3">
      <c r="B96" s="96"/>
      <c r="C96" s="212"/>
      <c r="D96" s="213"/>
      <c r="E96" s="123" t="str">
        <f xml:space="preserve"> setValueToTime(E95)</f>
        <v>42h45min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112"/>
      <c r="RS96" s="113"/>
      <c r="RT96" s="113"/>
      <c r="RU96" s="113"/>
      <c r="RV96" s="113"/>
      <c r="RW96" s="113"/>
      <c r="RX96" s="113"/>
      <c r="RY96" s="113"/>
      <c r="RZ96" s="113"/>
      <c r="SA96" s="113"/>
      <c r="SB96" s="113"/>
      <c r="SC96" s="113"/>
      <c r="SD96" s="113"/>
      <c r="SE96" s="113"/>
      <c r="SF96" s="113"/>
      <c r="SG96" s="113"/>
      <c r="SH96" s="113"/>
      <c r="SI96" s="113"/>
      <c r="SJ96" s="113"/>
      <c r="SK96" s="113"/>
      <c r="SL96" s="113"/>
      <c r="SM96" s="113"/>
      <c r="SN96" s="113"/>
      <c r="SO96" s="113"/>
      <c r="SP96" s="113"/>
      <c r="SQ96" s="113"/>
      <c r="SR96" s="113"/>
      <c r="SS96" s="113"/>
      <c r="ST96" s="113"/>
      <c r="SU96" s="113"/>
      <c r="SV96" s="113"/>
      <c r="SW96" s="113"/>
      <c r="SX96" s="113"/>
      <c r="SY96" s="113"/>
      <c r="SZ96" s="113"/>
      <c r="TA96" s="113"/>
      <c r="TB96" s="113"/>
      <c r="TC96" s="113"/>
      <c r="TD96" s="113"/>
      <c r="TE96" s="113"/>
      <c r="TF96" s="113"/>
      <c r="TG96" s="113"/>
      <c r="TH96" s="113"/>
      <c r="TI96" s="113"/>
      <c r="TJ96" s="113"/>
      <c r="TK96" s="113"/>
      <c r="TL96" s="113"/>
      <c r="TM96" s="113"/>
      <c r="TN96" s="113"/>
      <c r="TO96" s="113"/>
      <c r="TP96" s="113"/>
      <c r="TQ96" s="113"/>
      <c r="TR96" s="113"/>
      <c r="TS96" s="113"/>
      <c r="TT96" s="113"/>
      <c r="TU96" s="113"/>
      <c r="TV96" s="113"/>
      <c r="TW96" s="113"/>
      <c r="TX96" s="113"/>
      <c r="TY96" s="114"/>
      <c r="TZ96" s="112"/>
      <c r="UA96" s="113"/>
      <c r="UB96" s="113"/>
      <c r="UC96" s="113"/>
      <c r="UD96" s="113"/>
      <c r="UE96" s="113"/>
      <c r="UF96" s="113"/>
      <c r="UG96" s="113"/>
      <c r="UH96" s="113"/>
      <c r="UI96" s="113"/>
      <c r="UJ96" s="113"/>
      <c r="UK96" s="113"/>
      <c r="UL96" s="113"/>
      <c r="UM96" s="113"/>
      <c r="UN96" s="113"/>
      <c r="UO96" s="113"/>
      <c r="UP96" s="113"/>
      <c r="UQ96" s="113"/>
      <c r="UR96" s="113"/>
      <c r="US96" s="113"/>
      <c r="UT96" s="113"/>
      <c r="UU96" s="113"/>
      <c r="UV96" s="113"/>
      <c r="UW96" s="113"/>
      <c r="UX96" s="113"/>
      <c r="UY96" s="113"/>
      <c r="UZ96" s="113"/>
      <c r="VA96" s="113"/>
      <c r="VB96" s="113"/>
      <c r="VC96" s="113"/>
      <c r="VD96" s="113"/>
      <c r="VE96" s="113"/>
      <c r="VF96" s="113"/>
      <c r="VG96" s="113"/>
      <c r="VH96" s="113"/>
      <c r="VI96" s="113"/>
      <c r="VJ96" s="113"/>
      <c r="VK96" s="113"/>
      <c r="VL96" s="113"/>
      <c r="VM96" s="113"/>
      <c r="VN96" s="113"/>
      <c r="VO96" s="113"/>
      <c r="VP96" s="113"/>
      <c r="VQ96" s="113"/>
      <c r="VR96" s="113"/>
      <c r="VS96" s="113"/>
      <c r="VT96" s="113"/>
      <c r="VU96" s="113"/>
      <c r="VV96" s="113"/>
      <c r="VW96" s="113"/>
      <c r="VX96" s="113"/>
      <c r="VY96" s="113"/>
      <c r="VZ96" s="113"/>
      <c r="WA96" s="113"/>
      <c r="WB96" s="113"/>
      <c r="WC96" s="113"/>
      <c r="WD96" s="113"/>
      <c r="WE96" s="113"/>
      <c r="WF96" s="113"/>
      <c r="WG96" s="114"/>
      <c r="WH96" s="112"/>
      <c r="WI96" s="113"/>
      <c r="WJ96" s="113"/>
      <c r="WK96" s="113"/>
      <c r="WL96" s="113"/>
      <c r="WM96" s="113"/>
      <c r="WN96" s="113"/>
      <c r="WO96" s="113"/>
      <c r="WP96" s="113"/>
      <c r="WQ96" s="113"/>
      <c r="WR96" s="113"/>
      <c r="WS96" s="113"/>
      <c r="WT96" s="113"/>
      <c r="WU96" s="113"/>
      <c r="WV96" s="113"/>
      <c r="WW96" s="113"/>
      <c r="WX96" s="113"/>
      <c r="WY96" s="113"/>
      <c r="WZ96" s="113"/>
      <c r="XA96" s="113"/>
      <c r="XB96" s="113"/>
      <c r="XC96" s="113"/>
      <c r="XD96" s="113"/>
      <c r="XE96" s="113"/>
      <c r="XF96" s="113"/>
      <c r="XG96" s="113"/>
      <c r="XH96" s="113"/>
      <c r="XI96" s="113"/>
      <c r="XJ96" s="113"/>
      <c r="XK96" s="113"/>
      <c r="XL96" s="113"/>
      <c r="XM96" s="113"/>
      <c r="XN96" s="113"/>
      <c r="XO96" s="113"/>
      <c r="XP96" s="113"/>
      <c r="XQ96" s="113"/>
      <c r="XR96" s="113"/>
      <c r="XS96" s="113"/>
      <c r="XT96" s="113"/>
      <c r="XU96" s="113"/>
      <c r="XV96" s="113"/>
      <c r="XW96" s="113"/>
      <c r="XX96" s="113"/>
      <c r="XY96" s="113"/>
      <c r="XZ96" s="113"/>
      <c r="YA96" s="113"/>
      <c r="YB96" s="113"/>
      <c r="YC96" s="113"/>
      <c r="YD96" s="113"/>
      <c r="YE96" s="113"/>
      <c r="YF96" s="113"/>
      <c r="YG96" s="113"/>
      <c r="YH96" s="113"/>
      <c r="YI96" s="113"/>
      <c r="YJ96" s="113"/>
      <c r="YK96" s="113"/>
      <c r="YL96" s="113"/>
      <c r="YM96" s="113"/>
      <c r="YN96" s="113"/>
      <c r="YO96" s="114"/>
      <c r="YP96" s="112"/>
      <c r="YQ96" s="113"/>
      <c r="YR96" s="113"/>
      <c r="YS96" s="113"/>
      <c r="YT96" s="113"/>
      <c r="YU96" s="113"/>
      <c r="YV96" s="113"/>
      <c r="YW96" s="113"/>
      <c r="YX96" s="113"/>
      <c r="YY96" s="113"/>
      <c r="YZ96" s="113"/>
      <c r="ZA96" s="113"/>
      <c r="ZB96" s="113"/>
      <c r="ZC96" s="113"/>
      <c r="ZD96" s="113"/>
      <c r="ZE96" s="113"/>
      <c r="ZF96" s="113"/>
      <c r="ZG96" s="113"/>
      <c r="ZH96" s="113"/>
      <c r="ZI96" s="113"/>
      <c r="ZJ96" s="113"/>
      <c r="ZK96" s="113"/>
      <c r="ZL96" s="113"/>
      <c r="ZM96" s="113"/>
      <c r="ZN96" s="113"/>
      <c r="ZO96" s="113"/>
      <c r="ZP96" s="113"/>
      <c r="ZQ96" s="113"/>
      <c r="ZR96" s="113"/>
      <c r="ZS96" s="113"/>
      <c r="ZT96" s="113"/>
      <c r="ZU96" s="113"/>
      <c r="ZV96" s="113"/>
      <c r="ZW96" s="113"/>
      <c r="ZX96" s="113"/>
      <c r="ZY96" s="113"/>
      <c r="ZZ96" s="113"/>
      <c r="AAA96" s="113"/>
      <c r="AAB96" s="113"/>
      <c r="AAC96" s="113"/>
      <c r="AAD96" s="113"/>
      <c r="AAE96" s="113"/>
      <c r="AAF96" s="113"/>
      <c r="AAG96" s="113"/>
      <c r="AAH96" s="113"/>
      <c r="AAI96" s="113"/>
      <c r="AAJ96" s="113"/>
      <c r="AAK96" s="113"/>
      <c r="AAL96" s="113"/>
      <c r="AAM96" s="113"/>
      <c r="AAN96" s="113"/>
      <c r="AAO96" s="113"/>
      <c r="AAP96" s="113"/>
      <c r="AAQ96" s="113"/>
      <c r="AAR96" s="113"/>
      <c r="AAS96" s="113"/>
      <c r="AAT96" s="113"/>
      <c r="AAU96" s="113"/>
      <c r="AAV96" s="113"/>
      <c r="AAW96" s="114"/>
      <c r="AAX96" s="112"/>
      <c r="AAY96" s="113"/>
      <c r="AAZ96" s="113"/>
      <c r="ABA96" s="113"/>
      <c r="ABB96" s="113"/>
      <c r="ABC96" s="113"/>
      <c r="ABD96" s="113"/>
      <c r="ABE96" s="113"/>
      <c r="ABF96" s="113"/>
      <c r="ABG96" s="113"/>
      <c r="ABH96" s="113"/>
      <c r="ABI96" s="113"/>
      <c r="ABJ96" s="113"/>
      <c r="ABK96" s="113"/>
      <c r="ABL96" s="113"/>
      <c r="ABM96" s="113"/>
      <c r="ABN96" s="113"/>
      <c r="ABO96" s="113"/>
      <c r="ABP96" s="113"/>
      <c r="ABQ96" s="113"/>
      <c r="ABR96" s="113"/>
      <c r="ABS96" s="113"/>
      <c r="ABT96" s="113"/>
      <c r="ABU96" s="113"/>
      <c r="ABV96" s="113"/>
      <c r="ABW96" s="113"/>
      <c r="ABX96" s="113"/>
      <c r="ABY96" s="113"/>
      <c r="ABZ96" s="113"/>
      <c r="ACA96" s="113"/>
      <c r="ACB96" s="113"/>
      <c r="ACC96" s="113"/>
      <c r="ACD96" s="113"/>
      <c r="ACE96" s="113"/>
      <c r="ACF96" s="113"/>
      <c r="ACG96" s="113"/>
      <c r="ACH96" s="113"/>
      <c r="ACI96" s="113"/>
      <c r="ACJ96" s="113"/>
      <c r="ACK96" s="113"/>
      <c r="ACL96" s="113"/>
      <c r="ACM96" s="113"/>
      <c r="ACN96" s="113"/>
      <c r="ACO96" s="113"/>
      <c r="ACP96" s="113"/>
      <c r="ACQ96" s="113"/>
      <c r="ACR96" s="113"/>
      <c r="ACS96" s="113"/>
      <c r="ACT96" s="113"/>
      <c r="ACU96" s="113"/>
      <c r="ACV96" s="113"/>
      <c r="ACW96" s="113"/>
      <c r="ACX96" s="113"/>
      <c r="ACY96" s="113"/>
      <c r="ACZ96" s="113"/>
      <c r="ADA96" s="113"/>
      <c r="ADB96" s="113"/>
      <c r="ADC96" s="113"/>
      <c r="ADD96" s="113"/>
      <c r="ADE96" s="114"/>
      <c r="ADF96" s="112"/>
      <c r="ADG96" s="113"/>
      <c r="ADH96" s="113"/>
      <c r="ADI96" s="113"/>
      <c r="ADJ96" s="113"/>
      <c r="ADK96" s="113"/>
      <c r="ADL96" s="113"/>
      <c r="ADM96" s="113"/>
      <c r="ADN96" s="113"/>
      <c r="ADO96" s="113"/>
      <c r="ADP96" s="113"/>
      <c r="ADQ96" s="113"/>
      <c r="ADR96" s="113"/>
      <c r="ADS96" s="113"/>
      <c r="ADT96" s="113"/>
      <c r="ADU96" s="113"/>
      <c r="ADV96" s="113"/>
      <c r="ADW96" s="113"/>
      <c r="ADX96" s="113"/>
      <c r="ADY96" s="113"/>
      <c r="ADZ96" s="113"/>
      <c r="AEA96" s="113"/>
      <c r="AEB96" s="113"/>
      <c r="AEC96" s="113"/>
      <c r="AED96" s="113"/>
      <c r="AEE96" s="113"/>
      <c r="AEF96" s="113"/>
      <c r="AEG96" s="113"/>
      <c r="AEH96" s="113"/>
      <c r="AEI96" s="113"/>
      <c r="AEJ96" s="113"/>
      <c r="AEK96" s="113"/>
      <c r="AEL96" s="113"/>
      <c r="AEM96" s="113"/>
      <c r="AEN96" s="113"/>
      <c r="AEO96" s="113"/>
      <c r="AEP96" s="113"/>
      <c r="AEQ96" s="113"/>
      <c r="AER96" s="113"/>
      <c r="AES96" s="113"/>
      <c r="AET96" s="113"/>
      <c r="AEU96" s="113"/>
      <c r="AEV96" s="113"/>
      <c r="AEW96" s="113"/>
      <c r="AEX96" s="113"/>
      <c r="AEY96" s="113"/>
      <c r="AEZ96" s="113"/>
      <c r="AFA96" s="113"/>
      <c r="AFB96" s="113"/>
      <c r="AFC96" s="113"/>
      <c r="AFD96" s="113"/>
      <c r="AFE96" s="113"/>
      <c r="AFF96" s="113"/>
      <c r="AFG96" s="113"/>
      <c r="AFH96" s="113"/>
      <c r="AFI96" s="113"/>
      <c r="AFJ96" s="113"/>
      <c r="AFK96" s="113"/>
      <c r="AFL96" s="113"/>
      <c r="AFM96" s="114"/>
      <c r="AFN96" s="90"/>
    </row>
    <row r="97" spans="2:846" ht="20.100000000000001" customHeight="1" x14ac:dyDescent="0.25">
      <c r="B97" s="96"/>
      <c r="C97" s="214" t="s">
        <v>10</v>
      </c>
      <c r="D97" s="215"/>
      <c r="E97" s="118">
        <f>SUM(E16,E18,E20,E22,E24,E26,E28,E30,E32,E34,E36,E38,E40,E42,E44,E46,E48,E50,E52,E54,E56,E58,E60,E62,E64,E66,E68,E70,E72,E74,E76,E78,E80,E82,E84,E86,E88,E90,E92,E94)</f>
        <v>450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15"/>
      <c r="RS97" s="115"/>
      <c r="RT97" s="115"/>
      <c r="RU97" s="115"/>
      <c r="RV97" s="115"/>
      <c r="RW97" s="115"/>
      <c r="RX97" s="115"/>
      <c r="RY97" s="115"/>
      <c r="RZ97" s="115"/>
      <c r="SA97" s="115"/>
      <c r="SB97" s="115"/>
      <c r="SC97" s="115"/>
      <c r="SD97" s="115"/>
      <c r="SE97" s="115"/>
      <c r="SF97" s="115"/>
      <c r="SG97" s="115"/>
      <c r="SH97" s="115"/>
      <c r="SI97" s="115"/>
      <c r="SJ97" s="115"/>
      <c r="SK97" s="115"/>
      <c r="SL97" s="115"/>
      <c r="SM97" s="115"/>
      <c r="SN97" s="115"/>
      <c r="SO97" s="115"/>
      <c r="SP97" s="115"/>
      <c r="SQ97" s="115"/>
      <c r="SR97" s="115"/>
      <c r="SS97" s="115"/>
      <c r="ST97" s="115"/>
      <c r="SU97" s="115"/>
      <c r="SV97" s="115"/>
      <c r="SW97" s="115"/>
      <c r="SX97" s="115"/>
      <c r="SY97" s="115"/>
      <c r="SZ97" s="115"/>
      <c r="TA97" s="115"/>
      <c r="TB97" s="115"/>
      <c r="TC97" s="115"/>
      <c r="TD97" s="115"/>
      <c r="TE97" s="115"/>
      <c r="TF97" s="115"/>
      <c r="TG97" s="115"/>
      <c r="TH97" s="115"/>
      <c r="TI97" s="115"/>
      <c r="TJ97" s="115"/>
      <c r="TK97" s="115"/>
      <c r="TL97" s="115"/>
      <c r="TM97" s="115"/>
      <c r="TN97" s="115"/>
      <c r="TO97" s="115"/>
      <c r="TP97" s="115"/>
      <c r="TQ97" s="115"/>
      <c r="TR97" s="115"/>
      <c r="TS97" s="115"/>
      <c r="TT97" s="115"/>
      <c r="TU97" s="115"/>
      <c r="TV97" s="115"/>
      <c r="TW97" s="115"/>
      <c r="TX97" s="115"/>
      <c r="TY97" s="116"/>
      <c r="TZ97" s="115"/>
      <c r="UA97" s="115"/>
      <c r="UB97" s="115"/>
      <c r="UC97" s="115"/>
      <c r="UD97" s="115"/>
      <c r="UE97" s="115"/>
      <c r="UF97" s="115"/>
      <c r="UG97" s="115"/>
      <c r="UH97" s="115"/>
      <c r="UI97" s="115"/>
      <c r="UJ97" s="115"/>
      <c r="UK97" s="115"/>
      <c r="UL97" s="115"/>
      <c r="UM97" s="115"/>
      <c r="UN97" s="115"/>
      <c r="UO97" s="115"/>
      <c r="UP97" s="115"/>
      <c r="UQ97" s="115"/>
      <c r="UR97" s="115"/>
      <c r="US97" s="115"/>
      <c r="UT97" s="115"/>
      <c r="UU97" s="115"/>
      <c r="UV97" s="115"/>
      <c r="UW97" s="115"/>
      <c r="UX97" s="115"/>
      <c r="UY97" s="115"/>
      <c r="UZ97" s="115"/>
      <c r="VA97" s="115"/>
      <c r="VB97" s="115"/>
      <c r="VC97" s="115"/>
      <c r="VD97" s="115"/>
      <c r="VE97" s="115"/>
      <c r="VF97" s="115"/>
      <c r="VG97" s="115"/>
      <c r="VH97" s="115"/>
      <c r="VI97" s="115"/>
      <c r="VJ97" s="115"/>
      <c r="VK97" s="115"/>
      <c r="VL97" s="115"/>
      <c r="VM97" s="115"/>
      <c r="VN97" s="115"/>
      <c r="VO97" s="115"/>
      <c r="VP97" s="115"/>
      <c r="VQ97" s="115"/>
      <c r="VR97" s="115"/>
      <c r="VS97" s="115"/>
      <c r="VT97" s="115"/>
      <c r="VU97" s="115"/>
      <c r="VV97" s="115"/>
      <c r="VW97" s="115"/>
      <c r="VX97" s="115"/>
      <c r="VY97" s="115"/>
      <c r="VZ97" s="115"/>
      <c r="WA97" s="115"/>
      <c r="WB97" s="115"/>
      <c r="WC97" s="115"/>
      <c r="WD97" s="115"/>
      <c r="WE97" s="115"/>
      <c r="WF97" s="115"/>
      <c r="WG97" s="116"/>
      <c r="WH97" s="115"/>
      <c r="WI97" s="115"/>
      <c r="WJ97" s="115"/>
      <c r="WK97" s="115"/>
      <c r="WL97" s="115"/>
      <c r="WM97" s="115"/>
      <c r="WN97" s="115"/>
      <c r="WO97" s="115"/>
      <c r="WP97" s="115"/>
      <c r="WQ97" s="115"/>
      <c r="WR97" s="115"/>
      <c r="WS97" s="115"/>
      <c r="WT97" s="115"/>
      <c r="WU97" s="115"/>
      <c r="WV97" s="115"/>
      <c r="WW97" s="115"/>
      <c r="WX97" s="115"/>
      <c r="WY97" s="115"/>
      <c r="WZ97" s="115"/>
      <c r="XA97" s="115"/>
      <c r="XB97" s="115"/>
      <c r="XC97" s="115"/>
      <c r="XD97" s="115"/>
      <c r="XE97" s="115"/>
      <c r="XF97" s="115"/>
      <c r="XG97" s="115"/>
      <c r="XH97" s="115"/>
      <c r="XI97" s="115"/>
      <c r="XJ97" s="115"/>
      <c r="XK97" s="115"/>
      <c r="XL97" s="115"/>
      <c r="XM97" s="115"/>
      <c r="XN97" s="115"/>
      <c r="XO97" s="115"/>
      <c r="XP97" s="115"/>
      <c r="XQ97" s="115"/>
      <c r="XR97" s="115"/>
      <c r="XS97" s="115"/>
      <c r="XT97" s="115"/>
      <c r="XU97" s="115"/>
      <c r="XV97" s="115"/>
      <c r="XW97" s="115"/>
      <c r="XX97" s="115"/>
      <c r="XY97" s="115"/>
      <c r="XZ97" s="115"/>
      <c r="YA97" s="115"/>
      <c r="YB97" s="115"/>
      <c r="YC97" s="115"/>
      <c r="YD97" s="115"/>
      <c r="YE97" s="115"/>
      <c r="YF97" s="115"/>
      <c r="YG97" s="115"/>
      <c r="YH97" s="115"/>
      <c r="YI97" s="115"/>
      <c r="YJ97" s="115"/>
      <c r="YK97" s="115"/>
      <c r="YL97" s="115"/>
      <c r="YM97" s="115"/>
      <c r="YN97" s="115"/>
      <c r="YO97" s="116"/>
      <c r="YP97" s="115"/>
      <c r="YQ97" s="115"/>
      <c r="YR97" s="115"/>
      <c r="YS97" s="115"/>
      <c r="YT97" s="115"/>
      <c r="YU97" s="115"/>
      <c r="YV97" s="115"/>
      <c r="YW97" s="115"/>
      <c r="YX97" s="115"/>
      <c r="YY97" s="115"/>
      <c r="YZ97" s="115"/>
      <c r="ZA97" s="115"/>
      <c r="ZB97" s="115"/>
      <c r="ZC97" s="115"/>
      <c r="ZD97" s="115"/>
      <c r="ZE97" s="115"/>
      <c r="ZF97" s="115"/>
      <c r="ZG97" s="115"/>
      <c r="ZH97" s="115"/>
      <c r="ZI97" s="115"/>
      <c r="ZJ97" s="115"/>
      <c r="ZK97" s="115"/>
      <c r="ZL97" s="115"/>
      <c r="ZM97" s="115"/>
      <c r="ZN97" s="115"/>
      <c r="ZO97" s="115"/>
      <c r="ZP97" s="115"/>
      <c r="ZQ97" s="115"/>
      <c r="ZR97" s="115"/>
      <c r="ZS97" s="115"/>
      <c r="ZT97" s="115"/>
      <c r="ZU97" s="115"/>
      <c r="ZV97" s="115"/>
      <c r="ZW97" s="115"/>
      <c r="ZX97" s="115"/>
      <c r="ZY97" s="115"/>
      <c r="ZZ97" s="115"/>
      <c r="AAA97" s="115"/>
      <c r="AAB97" s="115"/>
      <c r="AAC97" s="115"/>
      <c r="AAD97" s="115"/>
      <c r="AAE97" s="115"/>
      <c r="AAF97" s="115"/>
      <c r="AAG97" s="115"/>
      <c r="AAH97" s="115"/>
      <c r="AAI97" s="115"/>
      <c r="AAJ97" s="115"/>
      <c r="AAK97" s="115"/>
      <c r="AAL97" s="115"/>
      <c r="AAM97" s="115"/>
      <c r="AAN97" s="115"/>
      <c r="AAO97" s="115"/>
      <c r="AAP97" s="115"/>
      <c r="AAQ97" s="115"/>
      <c r="AAR97" s="115"/>
      <c r="AAS97" s="115"/>
      <c r="AAT97" s="115"/>
      <c r="AAU97" s="115"/>
      <c r="AAV97" s="115"/>
      <c r="AAW97" s="116"/>
      <c r="AAX97" s="115"/>
      <c r="AAY97" s="115"/>
      <c r="AAZ97" s="115"/>
      <c r="ABA97" s="115"/>
      <c r="ABB97" s="115"/>
      <c r="ABC97" s="115"/>
      <c r="ABD97" s="115"/>
      <c r="ABE97" s="115"/>
      <c r="ABF97" s="115"/>
      <c r="ABG97" s="115"/>
      <c r="ABH97" s="115"/>
      <c r="ABI97" s="115"/>
      <c r="ABJ97" s="115"/>
      <c r="ABK97" s="115"/>
      <c r="ABL97" s="115"/>
      <c r="ABM97" s="115"/>
      <c r="ABN97" s="115"/>
      <c r="ABO97" s="115"/>
      <c r="ABP97" s="115"/>
      <c r="ABQ97" s="115"/>
      <c r="ABR97" s="115"/>
      <c r="ABS97" s="115"/>
      <c r="ABT97" s="115"/>
      <c r="ABU97" s="115"/>
      <c r="ABV97" s="115"/>
      <c r="ABW97" s="115"/>
      <c r="ABX97" s="115"/>
      <c r="ABY97" s="115"/>
      <c r="ABZ97" s="115"/>
      <c r="ACA97" s="115"/>
      <c r="ACB97" s="115"/>
      <c r="ACC97" s="115"/>
      <c r="ACD97" s="115"/>
      <c r="ACE97" s="115"/>
      <c r="ACF97" s="115"/>
      <c r="ACG97" s="115"/>
      <c r="ACH97" s="115"/>
      <c r="ACI97" s="115"/>
      <c r="ACJ97" s="115"/>
      <c r="ACK97" s="115"/>
      <c r="ACL97" s="115"/>
      <c r="ACM97" s="115"/>
      <c r="ACN97" s="115"/>
      <c r="ACO97" s="115"/>
      <c r="ACP97" s="115"/>
      <c r="ACQ97" s="115"/>
      <c r="ACR97" s="115"/>
      <c r="ACS97" s="115"/>
      <c r="ACT97" s="115"/>
      <c r="ACU97" s="115"/>
      <c r="ACV97" s="115"/>
      <c r="ACW97" s="115"/>
      <c r="ACX97" s="115"/>
      <c r="ACY97" s="115"/>
      <c r="ACZ97" s="115"/>
      <c r="ADA97" s="115"/>
      <c r="ADB97" s="115"/>
      <c r="ADC97" s="115"/>
      <c r="ADD97" s="115"/>
      <c r="ADE97" s="116"/>
      <c r="ADF97" s="115"/>
      <c r="ADG97" s="115"/>
      <c r="ADH97" s="115"/>
      <c r="ADI97" s="115"/>
      <c r="ADJ97" s="115"/>
      <c r="ADK97" s="115"/>
      <c r="ADL97" s="115"/>
      <c r="ADM97" s="115"/>
      <c r="ADN97" s="115"/>
      <c r="ADO97" s="115"/>
      <c r="ADP97" s="115"/>
      <c r="ADQ97" s="115"/>
      <c r="ADR97" s="115"/>
      <c r="ADS97" s="115"/>
      <c r="ADT97" s="115"/>
      <c r="ADU97" s="115"/>
      <c r="ADV97" s="115"/>
      <c r="ADW97" s="115"/>
      <c r="ADX97" s="115"/>
      <c r="ADY97" s="115"/>
      <c r="ADZ97" s="115"/>
      <c r="AEA97" s="115"/>
      <c r="AEB97" s="115"/>
      <c r="AEC97" s="115"/>
      <c r="AED97" s="115"/>
      <c r="AEE97" s="115"/>
      <c r="AEF97" s="115"/>
      <c r="AEG97" s="115"/>
      <c r="AEH97" s="115"/>
      <c r="AEI97" s="115"/>
      <c r="AEJ97" s="115"/>
      <c r="AEK97" s="115"/>
      <c r="AEL97" s="115"/>
      <c r="AEM97" s="115"/>
      <c r="AEN97" s="115"/>
      <c r="AEO97" s="115"/>
      <c r="AEP97" s="115"/>
      <c r="AEQ97" s="115"/>
      <c r="AER97" s="115"/>
      <c r="AES97" s="115"/>
      <c r="AET97" s="115"/>
      <c r="AEU97" s="115"/>
      <c r="AEV97" s="115"/>
      <c r="AEW97" s="115"/>
      <c r="AEX97" s="115"/>
      <c r="AEY97" s="115"/>
      <c r="AEZ97" s="115"/>
      <c r="AFA97" s="115"/>
      <c r="AFB97" s="115"/>
      <c r="AFC97" s="115"/>
      <c r="AFD97" s="115"/>
      <c r="AFE97" s="115"/>
      <c r="AFF97" s="115"/>
      <c r="AFG97" s="115"/>
      <c r="AFH97" s="115"/>
      <c r="AFI97" s="115"/>
      <c r="AFJ97" s="115"/>
      <c r="AFK97" s="115"/>
      <c r="AFL97" s="115"/>
      <c r="AFM97" s="116"/>
      <c r="AFN97" s="124"/>
    </row>
    <row r="98" spans="2:846" ht="20.100000000000001" customHeight="1" thickBot="1" x14ac:dyDescent="0.3">
      <c r="B98" s="96"/>
      <c r="C98" s="216"/>
      <c r="D98" s="217"/>
      <c r="E98" s="122" t="str">
        <f xml:space="preserve"> setValueToTime(E97)</f>
        <v>37h30min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71"/>
      <c r="RS98" s="71"/>
      <c r="RT98" s="71"/>
      <c r="RU98" s="71"/>
      <c r="RV98" s="71"/>
      <c r="RW98" s="71"/>
      <c r="RX98" s="71"/>
      <c r="RY98" s="71"/>
      <c r="RZ98" s="71"/>
      <c r="SA98" s="71"/>
      <c r="SB98" s="71"/>
      <c r="SC98" s="71"/>
      <c r="SD98" s="71"/>
      <c r="SE98" s="71"/>
      <c r="SF98" s="71"/>
      <c r="SG98" s="71"/>
      <c r="SH98" s="71"/>
      <c r="SI98" s="71"/>
      <c r="SJ98" s="71"/>
      <c r="SK98" s="71"/>
      <c r="SL98" s="71"/>
      <c r="SM98" s="71"/>
      <c r="SN98" s="71"/>
      <c r="SO98" s="71"/>
      <c r="SP98" s="71"/>
      <c r="SQ98" s="71"/>
      <c r="SR98" s="71"/>
      <c r="SS98" s="71"/>
      <c r="ST98" s="71"/>
      <c r="SU98" s="71"/>
      <c r="SV98" s="71"/>
      <c r="SW98" s="71"/>
      <c r="SX98" s="71"/>
      <c r="SY98" s="71"/>
      <c r="SZ98" s="71"/>
      <c r="TA98" s="71"/>
      <c r="TB98" s="71"/>
      <c r="TC98" s="71"/>
      <c r="TD98" s="71"/>
      <c r="TE98" s="71"/>
      <c r="TF98" s="71"/>
      <c r="TG98" s="71"/>
      <c r="TH98" s="71"/>
      <c r="TI98" s="71"/>
      <c r="TJ98" s="71"/>
      <c r="TK98" s="71"/>
      <c r="TL98" s="71"/>
      <c r="TM98" s="71"/>
      <c r="TN98" s="71"/>
      <c r="TO98" s="71"/>
      <c r="TP98" s="71"/>
      <c r="TQ98" s="71"/>
      <c r="TR98" s="71"/>
      <c r="TS98" s="71"/>
      <c r="TT98" s="71"/>
      <c r="TU98" s="71"/>
      <c r="TV98" s="71"/>
      <c r="TW98" s="71"/>
      <c r="TX98" s="71"/>
      <c r="TY98" s="86"/>
      <c r="TZ98" s="71"/>
      <c r="UA98" s="71"/>
      <c r="UB98" s="71"/>
      <c r="UC98" s="71"/>
      <c r="UD98" s="71"/>
      <c r="UE98" s="71"/>
      <c r="UF98" s="71"/>
      <c r="UG98" s="71"/>
      <c r="UH98" s="71"/>
      <c r="UI98" s="71"/>
      <c r="UJ98" s="71"/>
      <c r="UK98" s="71"/>
      <c r="UL98" s="71"/>
      <c r="UM98" s="71"/>
      <c r="UN98" s="71"/>
      <c r="UO98" s="71"/>
      <c r="UP98" s="71"/>
      <c r="UQ98" s="71"/>
      <c r="UR98" s="71"/>
      <c r="US98" s="71"/>
      <c r="UT98" s="71"/>
      <c r="UU98" s="71"/>
      <c r="UV98" s="71"/>
      <c r="UW98" s="71"/>
      <c r="UX98" s="71"/>
      <c r="UY98" s="71"/>
      <c r="UZ98" s="71"/>
      <c r="VA98" s="71"/>
      <c r="VB98" s="71"/>
      <c r="VC98" s="71"/>
      <c r="VD98" s="71"/>
      <c r="VE98" s="71"/>
      <c r="VF98" s="71"/>
      <c r="VG98" s="71"/>
      <c r="VH98" s="71"/>
      <c r="VI98" s="71"/>
      <c r="VJ98" s="71"/>
      <c r="VK98" s="71"/>
      <c r="VL98" s="71"/>
      <c r="VM98" s="71"/>
      <c r="VN98" s="71"/>
      <c r="VO98" s="71"/>
      <c r="VP98" s="71"/>
      <c r="VQ98" s="71"/>
      <c r="VR98" s="71"/>
      <c r="VS98" s="71"/>
      <c r="VT98" s="71"/>
      <c r="VU98" s="71"/>
      <c r="VV98" s="71"/>
      <c r="VW98" s="71"/>
      <c r="VX98" s="71"/>
      <c r="VY98" s="71"/>
      <c r="VZ98" s="71"/>
      <c r="WA98" s="71"/>
      <c r="WB98" s="71"/>
      <c r="WC98" s="71"/>
      <c r="WD98" s="71"/>
      <c r="WE98" s="71"/>
      <c r="WF98" s="71"/>
      <c r="WG98" s="86"/>
      <c r="WH98" s="71"/>
      <c r="WI98" s="71"/>
      <c r="WJ98" s="71"/>
      <c r="WK98" s="71"/>
      <c r="WL98" s="71"/>
      <c r="WM98" s="71"/>
      <c r="WN98" s="71"/>
      <c r="WO98" s="71"/>
      <c r="WP98" s="71"/>
      <c r="WQ98" s="71"/>
      <c r="WR98" s="71"/>
      <c r="WS98" s="71"/>
      <c r="WT98" s="71"/>
      <c r="WU98" s="71"/>
      <c r="WV98" s="71"/>
      <c r="WW98" s="71"/>
      <c r="WX98" s="71"/>
      <c r="WY98" s="71"/>
      <c r="WZ98" s="71"/>
      <c r="XA98" s="71"/>
      <c r="XB98" s="71"/>
      <c r="XC98" s="71"/>
      <c r="XD98" s="71"/>
      <c r="XE98" s="71"/>
      <c r="XF98" s="71"/>
      <c r="XG98" s="71"/>
      <c r="XH98" s="71"/>
      <c r="XI98" s="71"/>
      <c r="XJ98" s="71"/>
      <c r="XK98" s="71"/>
      <c r="XL98" s="71"/>
      <c r="XM98" s="71"/>
      <c r="XN98" s="71"/>
      <c r="XO98" s="71"/>
      <c r="XP98" s="71"/>
      <c r="XQ98" s="71"/>
      <c r="XR98" s="71"/>
      <c r="XS98" s="71"/>
      <c r="XT98" s="71"/>
      <c r="XU98" s="71"/>
      <c r="XV98" s="71"/>
      <c r="XW98" s="71"/>
      <c r="XX98" s="71"/>
      <c r="XY98" s="71"/>
      <c r="XZ98" s="71"/>
      <c r="YA98" s="71"/>
      <c r="YB98" s="71"/>
      <c r="YC98" s="71"/>
      <c r="YD98" s="71"/>
      <c r="YE98" s="71"/>
      <c r="YF98" s="71"/>
      <c r="YG98" s="71"/>
      <c r="YH98" s="71"/>
      <c r="YI98" s="71"/>
      <c r="YJ98" s="71"/>
      <c r="YK98" s="71"/>
      <c r="YL98" s="71"/>
      <c r="YM98" s="71"/>
      <c r="YN98" s="71"/>
      <c r="YO98" s="86"/>
      <c r="YP98" s="71"/>
      <c r="YQ98" s="71"/>
      <c r="YR98" s="71"/>
      <c r="YS98" s="71"/>
      <c r="YT98" s="71"/>
      <c r="YU98" s="71"/>
      <c r="YV98" s="71"/>
      <c r="YW98" s="71"/>
      <c r="YX98" s="71"/>
      <c r="YY98" s="71"/>
      <c r="YZ98" s="71"/>
      <c r="ZA98" s="71"/>
      <c r="ZB98" s="71"/>
      <c r="ZC98" s="71"/>
      <c r="ZD98" s="71"/>
      <c r="ZE98" s="71"/>
      <c r="ZF98" s="71"/>
      <c r="ZG98" s="71"/>
      <c r="ZH98" s="71"/>
      <c r="ZI98" s="71"/>
      <c r="ZJ98" s="71"/>
      <c r="ZK98" s="71"/>
      <c r="ZL98" s="71"/>
      <c r="ZM98" s="71"/>
      <c r="ZN98" s="71"/>
      <c r="ZO98" s="71"/>
      <c r="ZP98" s="71"/>
      <c r="ZQ98" s="71"/>
      <c r="ZR98" s="71"/>
      <c r="ZS98" s="71"/>
      <c r="ZT98" s="71"/>
      <c r="ZU98" s="71"/>
      <c r="ZV98" s="71"/>
      <c r="ZW98" s="71"/>
      <c r="ZX98" s="71"/>
      <c r="ZY98" s="71"/>
      <c r="ZZ98" s="71"/>
      <c r="AAA98" s="71"/>
      <c r="AAB98" s="71"/>
      <c r="AAC98" s="71"/>
      <c r="AAD98" s="71"/>
      <c r="AAE98" s="71"/>
      <c r="AAF98" s="71"/>
      <c r="AAG98" s="71"/>
      <c r="AAH98" s="71"/>
      <c r="AAI98" s="71"/>
      <c r="AAJ98" s="71"/>
      <c r="AAK98" s="71"/>
      <c r="AAL98" s="71"/>
      <c r="AAM98" s="71"/>
      <c r="AAN98" s="71"/>
      <c r="AAO98" s="71"/>
      <c r="AAP98" s="71"/>
      <c r="AAQ98" s="71"/>
      <c r="AAR98" s="71"/>
      <c r="AAS98" s="71"/>
      <c r="AAT98" s="71"/>
      <c r="AAU98" s="71"/>
      <c r="AAV98" s="71"/>
      <c r="AAW98" s="86"/>
      <c r="AAX98" s="71"/>
      <c r="AAY98" s="71"/>
      <c r="AAZ98" s="71"/>
      <c r="ABA98" s="71"/>
      <c r="ABB98" s="71"/>
      <c r="ABC98" s="71"/>
      <c r="ABD98" s="71"/>
      <c r="ABE98" s="71"/>
      <c r="ABF98" s="71"/>
      <c r="ABG98" s="71"/>
      <c r="ABH98" s="71"/>
      <c r="ABI98" s="71"/>
      <c r="ABJ98" s="71"/>
      <c r="ABK98" s="71"/>
      <c r="ABL98" s="71"/>
      <c r="ABM98" s="71"/>
      <c r="ABN98" s="71"/>
      <c r="ABO98" s="71"/>
      <c r="ABP98" s="71"/>
      <c r="ABQ98" s="71"/>
      <c r="ABR98" s="71"/>
      <c r="ABS98" s="71"/>
      <c r="ABT98" s="71"/>
      <c r="ABU98" s="71"/>
      <c r="ABV98" s="71"/>
      <c r="ABW98" s="71"/>
      <c r="ABX98" s="71"/>
      <c r="ABY98" s="71"/>
      <c r="ABZ98" s="71"/>
      <c r="ACA98" s="71"/>
      <c r="ACB98" s="71"/>
      <c r="ACC98" s="71"/>
      <c r="ACD98" s="71"/>
      <c r="ACE98" s="71"/>
      <c r="ACF98" s="71"/>
      <c r="ACG98" s="71"/>
      <c r="ACH98" s="71"/>
      <c r="ACI98" s="71"/>
      <c r="ACJ98" s="71"/>
      <c r="ACK98" s="71"/>
      <c r="ACL98" s="71"/>
      <c r="ACM98" s="71"/>
      <c r="ACN98" s="71"/>
      <c r="ACO98" s="71"/>
      <c r="ACP98" s="71"/>
      <c r="ACQ98" s="71"/>
      <c r="ACR98" s="71"/>
      <c r="ACS98" s="71"/>
      <c r="ACT98" s="71"/>
      <c r="ACU98" s="71"/>
      <c r="ACV98" s="71"/>
      <c r="ACW98" s="71"/>
      <c r="ACX98" s="71"/>
      <c r="ACY98" s="71"/>
      <c r="ACZ98" s="71"/>
      <c r="ADA98" s="71"/>
      <c r="ADB98" s="71"/>
      <c r="ADC98" s="71"/>
      <c r="ADD98" s="71"/>
      <c r="ADE98" s="86"/>
      <c r="ADF98" s="71"/>
      <c r="ADG98" s="71"/>
      <c r="ADH98" s="71"/>
      <c r="ADI98" s="71"/>
      <c r="ADJ98" s="71"/>
      <c r="ADK98" s="71"/>
      <c r="ADL98" s="71"/>
      <c r="ADM98" s="71"/>
      <c r="ADN98" s="71"/>
      <c r="ADO98" s="71"/>
      <c r="ADP98" s="71"/>
      <c r="ADQ98" s="71"/>
      <c r="ADR98" s="71"/>
      <c r="ADS98" s="71"/>
      <c r="ADT98" s="71"/>
      <c r="ADU98" s="71"/>
      <c r="ADV98" s="71"/>
      <c r="ADW98" s="71"/>
      <c r="ADX98" s="71"/>
      <c r="ADY98" s="71"/>
      <c r="ADZ98" s="71"/>
      <c r="AEA98" s="71"/>
      <c r="AEB98" s="71"/>
      <c r="AEC98" s="71"/>
      <c r="AED98" s="71"/>
      <c r="AEE98" s="71"/>
      <c r="AEF98" s="71"/>
      <c r="AEG98" s="71"/>
      <c r="AEH98" s="71"/>
      <c r="AEI98" s="71"/>
      <c r="AEJ98" s="71"/>
      <c r="AEK98" s="71"/>
      <c r="AEL98" s="71"/>
      <c r="AEM98" s="71"/>
      <c r="AEN98" s="71"/>
      <c r="AEO98" s="71"/>
      <c r="AEP98" s="71"/>
      <c r="AEQ98" s="71"/>
      <c r="AER98" s="71"/>
      <c r="AES98" s="71"/>
      <c r="AET98" s="71"/>
      <c r="AEU98" s="71"/>
      <c r="AEV98" s="71"/>
      <c r="AEW98" s="71"/>
      <c r="AEX98" s="71"/>
      <c r="AEY98" s="71"/>
      <c r="AEZ98" s="71"/>
      <c r="AFA98" s="71"/>
      <c r="AFB98" s="71"/>
      <c r="AFC98" s="71"/>
      <c r="AFD98" s="71"/>
      <c r="AFE98" s="71"/>
      <c r="AFF98" s="71"/>
      <c r="AFG98" s="71"/>
      <c r="AFH98" s="71"/>
      <c r="AFI98" s="71"/>
      <c r="AFJ98" s="71"/>
      <c r="AFK98" s="71"/>
      <c r="AFL98" s="71"/>
      <c r="AFM98" s="86"/>
      <c r="AFN98" s="90"/>
    </row>
    <row r="99" spans="2:84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89"/>
      <c r="RS99" s="89"/>
      <c r="RT99" s="89"/>
      <c r="RU99" s="89"/>
      <c r="RV99" s="89"/>
      <c r="RW99" s="89"/>
      <c r="RX99" s="89"/>
      <c r="RY99" s="89"/>
      <c r="RZ99" s="89"/>
      <c r="SA99" s="89"/>
      <c r="SB99" s="89"/>
      <c r="SC99" s="89"/>
      <c r="SD99" s="89"/>
      <c r="SE99" s="89"/>
      <c r="SF99" s="89"/>
      <c r="SG99" s="89"/>
      <c r="SH99" s="89"/>
      <c r="SI99" s="89"/>
      <c r="SJ99" s="89"/>
      <c r="SK99" s="89"/>
      <c r="SL99" s="89"/>
      <c r="SM99" s="89"/>
      <c r="SN99" s="89"/>
      <c r="SO99" s="89"/>
      <c r="SP99" s="89"/>
      <c r="SQ99" s="89"/>
      <c r="SR99" s="89"/>
      <c r="SS99" s="89"/>
      <c r="ST99" s="89"/>
      <c r="SU99" s="89"/>
      <c r="SV99" s="89"/>
      <c r="SW99" s="89"/>
      <c r="SX99" s="89"/>
      <c r="SY99" s="89"/>
      <c r="SZ99" s="89"/>
      <c r="TA99" s="89"/>
      <c r="TB99" s="89"/>
      <c r="TC99" s="89"/>
      <c r="TD99" s="89"/>
      <c r="TE99" s="89"/>
      <c r="TF99" s="89"/>
      <c r="TG99" s="89"/>
      <c r="TH99" s="89"/>
      <c r="TI99" s="89"/>
      <c r="TJ99" s="89"/>
      <c r="TK99" s="89"/>
      <c r="TL99" s="89"/>
      <c r="TM99" s="89"/>
      <c r="TN99" s="89"/>
      <c r="TO99" s="89"/>
      <c r="TP99" s="89"/>
      <c r="TQ99" s="89"/>
      <c r="TR99" s="89"/>
      <c r="TS99" s="89"/>
      <c r="TT99" s="89"/>
      <c r="TU99" s="89"/>
      <c r="TV99" s="89"/>
      <c r="TW99" s="89"/>
      <c r="TX99" s="89"/>
      <c r="TY99" s="89"/>
      <c r="TZ99" s="89"/>
      <c r="UA99" s="89"/>
      <c r="UB99" s="89"/>
      <c r="UC99" s="89"/>
      <c r="UD99" s="89"/>
      <c r="UE99" s="89"/>
      <c r="UF99" s="89"/>
      <c r="UG99" s="89"/>
      <c r="UH99" s="89"/>
      <c r="UI99" s="89"/>
      <c r="UJ99" s="89"/>
      <c r="UK99" s="89"/>
      <c r="UL99" s="89"/>
      <c r="UM99" s="89"/>
      <c r="UN99" s="89"/>
      <c r="UO99" s="89"/>
      <c r="UP99" s="89"/>
      <c r="UQ99" s="89"/>
      <c r="UR99" s="89"/>
      <c r="US99" s="89"/>
      <c r="UT99" s="89"/>
      <c r="UU99" s="89"/>
      <c r="UV99" s="89"/>
      <c r="UW99" s="89"/>
      <c r="UX99" s="89"/>
      <c r="UY99" s="89"/>
      <c r="UZ99" s="89"/>
      <c r="VA99" s="89"/>
      <c r="VB99" s="89"/>
      <c r="VC99" s="89"/>
      <c r="VD99" s="89"/>
      <c r="VE99" s="89"/>
      <c r="VF99" s="89"/>
      <c r="VG99" s="89"/>
      <c r="VH99" s="89"/>
      <c r="VI99" s="89"/>
      <c r="VJ99" s="89"/>
      <c r="VK99" s="89"/>
      <c r="VL99" s="89"/>
      <c r="VM99" s="89"/>
      <c r="VN99" s="89"/>
      <c r="VO99" s="89"/>
      <c r="VP99" s="89"/>
      <c r="VQ99" s="89"/>
      <c r="VR99" s="89"/>
      <c r="VS99" s="89"/>
      <c r="VT99" s="89"/>
      <c r="VU99" s="89"/>
      <c r="VV99" s="89"/>
      <c r="VW99" s="89"/>
      <c r="VX99" s="89"/>
      <c r="VY99" s="89"/>
      <c r="VZ99" s="89"/>
      <c r="WA99" s="89"/>
      <c r="WB99" s="89"/>
      <c r="WC99" s="89"/>
      <c r="WD99" s="89"/>
      <c r="WE99" s="89"/>
      <c r="WF99" s="89"/>
      <c r="WG99" s="89"/>
      <c r="WH99" s="89"/>
      <c r="WI99" s="89"/>
      <c r="WJ99" s="89"/>
      <c r="WK99" s="89"/>
      <c r="WL99" s="89"/>
      <c r="WM99" s="89"/>
      <c r="WN99" s="89"/>
      <c r="WO99" s="89"/>
      <c r="WP99" s="89"/>
      <c r="WQ99" s="89"/>
      <c r="WR99" s="89"/>
      <c r="WS99" s="89"/>
      <c r="WT99" s="89"/>
      <c r="WU99" s="89"/>
      <c r="WV99" s="89"/>
      <c r="WW99" s="89"/>
      <c r="WX99" s="89"/>
      <c r="WY99" s="89"/>
      <c r="WZ99" s="89"/>
      <c r="XA99" s="89"/>
      <c r="XB99" s="89"/>
      <c r="XC99" s="89"/>
      <c r="XD99" s="89"/>
      <c r="XE99" s="89"/>
      <c r="XF99" s="89"/>
      <c r="XG99" s="89"/>
      <c r="XH99" s="89"/>
      <c r="XI99" s="89"/>
      <c r="XJ99" s="89"/>
      <c r="XK99" s="89"/>
      <c r="XL99" s="89"/>
      <c r="XM99" s="89"/>
      <c r="XN99" s="89"/>
      <c r="XO99" s="89"/>
      <c r="XP99" s="89"/>
      <c r="XQ99" s="89"/>
      <c r="XR99" s="89"/>
      <c r="XS99" s="89"/>
      <c r="XT99" s="89"/>
      <c r="XU99" s="89"/>
      <c r="XV99" s="89"/>
      <c r="XW99" s="89"/>
      <c r="XX99" s="89"/>
      <c r="XY99" s="89"/>
      <c r="XZ99" s="89"/>
      <c r="YA99" s="89"/>
      <c r="YB99" s="89"/>
      <c r="YC99" s="89"/>
      <c r="YD99" s="89"/>
      <c r="YE99" s="89"/>
      <c r="YF99" s="89"/>
      <c r="YG99" s="89"/>
      <c r="YH99" s="89"/>
      <c r="YI99" s="89"/>
      <c r="YJ99" s="89"/>
      <c r="YK99" s="89"/>
      <c r="YL99" s="89"/>
      <c r="YM99" s="89"/>
      <c r="YN99" s="89"/>
      <c r="YO99" s="89"/>
      <c r="YP99" s="89"/>
      <c r="YQ99" s="89"/>
      <c r="YR99" s="89"/>
      <c r="YS99" s="89"/>
      <c r="YT99" s="89"/>
      <c r="YU99" s="89"/>
      <c r="YV99" s="89"/>
      <c r="YW99" s="89"/>
      <c r="YX99" s="89"/>
      <c r="YY99" s="89"/>
      <c r="YZ99" s="89"/>
      <c r="ZA99" s="89"/>
      <c r="ZB99" s="89"/>
      <c r="ZC99" s="89"/>
      <c r="ZD99" s="89"/>
      <c r="ZE99" s="89"/>
      <c r="ZF99" s="89"/>
      <c r="ZG99" s="89"/>
      <c r="ZH99" s="89"/>
      <c r="ZI99" s="89"/>
      <c r="ZJ99" s="89"/>
      <c r="ZK99" s="89"/>
      <c r="ZL99" s="89"/>
      <c r="ZM99" s="89"/>
      <c r="ZN99" s="89"/>
      <c r="ZO99" s="89"/>
      <c r="ZP99" s="89"/>
      <c r="ZQ99" s="89"/>
      <c r="ZR99" s="89"/>
      <c r="ZS99" s="89"/>
      <c r="ZT99" s="89"/>
      <c r="ZU99" s="89"/>
      <c r="ZV99" s="89"/>
      <c r="ZW99" s="89"/>
      <c r="ZX99" s="89"/>
      <c r="ZY99" s="89"/>
      <c r="ZZ99" s="89"/>
      <c r="AAA99" s="89"/>
      <c r="AAB99" s="89"/>
      <c r="AAC99" s="89"/>
      <c r="AAD99" s="89"/>
      <c r="AAE99" s="89"/>
      <c r="AAF99" s="89"/>
      <c r="AAG99" s="89"/>
      <c r="AAH99" s="89"/>
      <c r="AAI99" s="89"/>
      <c r="AAJ99" s="89"/>
      <c r="AAK99" s="89"/>
      <c r="AAL99" s="89"/>
      <c r="AAM99" s="89"/>
      <c r="AAN99" s="89"/>
      <c r="AAO99" s="89"/>
      <c r="AAP99" s="89"/>
      <c r="AAQ99" s="89"/>
      <c r="AAR99" s="89"/>
      <c r="AAS99" s="89"/>
      <c r="AAT99" s="89"/>
      <c r="AAU99" s="89"/>
      <c r="AAV99" s="89"/>
      <c r="AAW99" s="89"/>
      <c r="AAX99" s="89"/>
      <c r="AAY99" s="89"/>
      <c r="AAZ99" s="89"/>
      <c r="ABA99" s="89"/>
      <c r="ABB99" s="89"/>
      <c r="ABC99" s="89"/>
      <c r="ABD99" s="89"/>
      <c r="ABE99" s="89"/>
      <c r="ABF99" s="89"/>
      <c r="ABG99" s="89"/>
      <c r="ABH99" s="89"/>
      <c r="ABI99" s="89"/>
      <c r="ABJ99" s="89"/>
      <c r="ABK99" s="89"/>
      <c r="ABL99" s="89"/>
      <c r="ABM99" s="89"/>
      <c r="ABN99" s="89"/>
      <c r="ABO99" s="89"/>
      <c r="ABP99" s="89"/>
      <c r="ABQ99" s="89"/>
      <c r="ABR99" s="89"/>
      <c r="ABS99" s="89"/>
      <c r="ABT99" s="89"/>
      <c r="ABU99" s="89"/>
      <c r="ABV99" s="89"/>
      <c r="ABW99" s="89"/>
      <c r="ABX99" s="89"/>
      <c r="ABY99" s="89"/>
      <c r="ABZ99" s="89"/>
      <c r="ACA99" s="89"/>
      <c r="ACB99" s="89"/>
      <c r="ACC99" s="89"/>
      <c r="ACD99" s="89"/>
      <c r="ACE99" s="89"/>
      <c r="ACF99" s="89"/>
      <c r="ACG99" s="89"/>
      <c r="ACH99" s="89"/>
      <c r="ACI99" s="89"/>
      <c r="ACJ99" s="89"/>
      <c r="ACK99" s="89"/>
      <c r="ACL99" s="89"/>
      <c r="ACM99" s="89"/>
      <c r="ACN99" s="89"/>
      <c r="ACO99" s="89"/>
      <c r="ACP99" s="89"/>
      <c r="ACQ99" s="89"/>
      <c r="ACR99" s="89"/>
      <c r="ACS99" s="89"/>
      <c r="ACT99" s="89"/>
      <c r="ACU99" s="89"/>
      <c r="ACV99" s="89"/>
      <c r="ACW99" s="89"/>
      <c r="ACX99" s="89"/>
      <c r="ACY99" s="89"/>
      <c r="ACZ99" s="89"/>
      <c r="ADA99" s="89"/>
      <c r="ADB99" s="89"/>
      <c r="ADC99" s="89"/>
      <c r="ADD99" s="89"/>
      <c r="ADE99" s="89"/>
      <c r="ADF99" s="89"/>
      <c r="ADG99" s="89"/>
      <c r="ADH99" s="89"/>
      <c r="ADI99" s="89"/>
      <c r="ADJ99" s="89"/>
      <c r="ADK99" s="89"/>
      <c r="ADL99" s="89"/>
      <c r="ADM99" s="89"/>
      <c r="ADN99" s="89"/>
      <c r="ADO99" s="89"/>
      <c r="ADP99" s="89"/>
      <c r="ADQ99" s="89"/>
      <c r="ADR99" s="89"/>
      <c r="ADS99" s="89"/>
      <c r="ADT99" s="89"/>
      <c r="ADU99" s="89"/>
      <c r="ADV99" s="89"/>
      <c r="ADW99" s="89"/>
      <c r="ADX99" s="89"/>
      <c r="ADY99" s="89"/>
      <c r="ADZ99" s="89"/>
      <c r="AEA99" s="89"/>
      <c r="AEB99" s="89"/>
      <c r="AEC99" s="89"/>
      <c r="AED99" s="89"/>
      <c r="AEE99" s="89"/>
      <c r="AEF99" s="89"/>
      <c r="AEG99" s="89"/>
      <c r="AEH99" s="89"/>
      <c r="AEI99" s="89"/>
      <c r="AEJ99" s="89"/>
      <c r="AEK99" s="89"/>
      <c r="AEL99" s="89"/>
      <c r="AEM99" s="89"/>
      <c r="AEN99" s="89"/>
      <c r="AEO99" s="89"/>
      <c r="AEP99" s="89"/>
      <c r="AEQ99" s="89"/>
      <c r="AER99" s="89"/>
      <c r="AES99" s="89"/>
      <c r="AET99" s="89"/>
      <c r="AEU99" s="89"/>
      <c r="AEV99" s="89"/>
      <c r="AEW99" s="89"/>
      <c r="AEX99" s="89"/>
      <c r="AEY99" s="89"/>
      <c r="AEZ99" s="89"/>
      <c r="AFA99" s="89"/>
      <c r="AFB99" s="89"/>
      <c r="AFC99" s="89"/>
      <c r="AFD99" s="89"/>
      <c r="AFE99" s="89"/>
      <c r="AFF99" s="89"/>
      <c r="AFG99" s="89"/>
      <c r="AFH99" s="89"/>
      <c r="AFI99" s="89"/>
      <c r="AFJ99" s="89"/>
      <c r="AFK99" s="89"/>
      <c r="AFL99" s="89"/>
      <c r="AFM99" s="89"/>
      <c r="AFN99" s="91"/>
    </row>
  </sheetData>
  <sheetProtection insertRows="0" insertHyperlinks="0" selectLockedCells="1"/>
  <mergeCells count="232"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EL14:EO14"/>
    <mergeCell ref="EX14:FA14"/>
    <mergeCell ref="FJ14:FM14"/>
    <mergeCell ref="FV14:FY14"/>
    <mergeCell ref="EF14:EI14"/>
    <mergeCell ref="ER14:EU14"/>
    <mergeCell ref="FD14:FG14"/>
    <mergeCell ref="V14:Y14"/>
    <mergeCell ref="AB14:AE14"/>
    <mergeCell ref="AH14:AK14"/>
    <mergeCell ref="FP14:FS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F13:BM13"/>
    <mergeCell ref="J14:M14"/>
    <mergeCell ref="P14:S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BN13:DU13"/>
    <mergeCell ref="DH14:DK14"/>
    <mergeCell ref="DN14:DQ14"/>
    <mergeCell ref="DV10:GC10"/>
    <mergeCell ref="DV11:GC11"/>
    <mergeCell ref="DV12:GC12"/>
    <mergeCell ref="DV13:GC13"/>
    <mergeCell ref="DZ14:EC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47</xdr:col>
                <xdr:colOff>57150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G169"/>
  <sheetViews>
    <sheetView showGridLines="0" tabSelected="1" zoomScaleNormal="100" zoomScaleSheetLayoutView="98" workbookViewId="0">
      <pane ySplit="1" topLeftCell="A2" activePane="bottomLeft" state="frozen"/>
      <selection activeCell="BC13" sqref="BC13"/>
      <selection pane="bottomLeft" activeCell="A4" sqref="A4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0.57031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12</v>
      </c>
      <c r="B2" s="163">
        <v>14</v>
      </c>
      <c r="C2" s="163"/>
      <c r="D2" s="82" t="s">
        <v>15</v>
      </c>
      <c r="E2" s="94">
        <v>44725</v>
      </c>
      <c r="F2" s="126"/>
      <c r="G2" s="46"/>
    </row>
    <row r="3" spans="1:7" s="47" customFormat="1" ht="30" customHeight="1" thickBot="1" x14ac:dyDescent="0.3">
      <c r="A3" s="80" t="s">
        <v>5</v>
      </c>
      <c r="B3" s="150" t="s">
        <v>42</v>
      </c>
      <c r="C3" s="151"/>
      <c r="D3" s="80" t="s">
        <v>13</v>
      </c>
      <c r="E3" s="239" t="s">
        <v>14</v>
      </c>
      <c r="F3" s="240"/>
      <c r="G3" s="46"/>
    </row>
    <row r="4" spans="1:7" s="52" customFormat="1" ht="27" x14ac:dyDescent="0.3">
      <c r="A4" s="48" t="s">
        <v>100</v>
      </c>
      <c r="B4" s="49">
        <v>36</v>
      </c>
      <c r="C4" s="152" t="str">
        <f xml:space="preserve"> IF(B4="","",setValueToTime(B4))</f>
        <v>3h</v>
      </c>
      <c r="D4" s="166" t="s">
        <v>109</v>
      </c>
      <c r="E4" s="241"/>
      <c r="F4" s="242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33"/>
      <c r="F5" s="234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33"/>
      <c r="F6" s="234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33"/>
      <c r="F7" s="234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33"/>
      <c r="F8" s="234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33"/>
      <c r="F9" s="234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33"/>
      <c r="F10" s="234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35"/>
      <c r="F11" s="236"/>
      <c r="G11" s="51"/>
    </row>
    <row r="12" spans="1:7" s="52" customFormat="1" ht="15" thickBot="1" x14ac:dyDescent="0.35">
      <c r="A12" s="111" t="s">
        <v>29</v>
      </c>
      <c r="B12" s="84">
        <f>SUM(B4:B11)</f>
        <v>36</v>
      </c>
      <c r="C12" s="111" t="str">
        <f xml:space="preserve"> setValueToTime(B12)</f>
        <v>3h</v>
      </c>
      <c r="D12" s="120"/>
      <c r="E12" s="237"/>
      <c r="F12" s="238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12</v>
      </c>
      <c r="B14" s="163">
        <v>13</v>
      </c>
      <c r="C14" s="163"/>
      <c r="D14" s="82" t="s">
        <v>15</v>
      </c>
      <c r="E14" s="94">
        <v>44725</v>
      </c>
      <c r="F14" s="126"/>
      <c r="G14" s="46"/>
    </row>
    <row r="15" spans="1:7" s="47" customFormat="1" ht="30" customHeight="1" thickBot="1" x14ac:dyDescent="0.3">
      <c r="A15" s="80" t="s">
        <v>5</v>
      </c>
      <c r="B15" s="150" t="s">
        <v>42</v>
      </c>
      <c r="C15" s="151"/>
      <c r="D15" s="80" t="s">
        <v>13</v>
      </c>
      <c r="E15" s="239" t="s">
        <v>14</v>
      </c>
      <c r="F15" s="240"/>
      <c r="G15" s="46"/>
    </row>
    <row r="16" spans="1:7" s="52" customFormat="1" ht="27" x14ac:dyDescent="0.3">
      <c r="A16" s="48" t="s">
        <v>100</v>
      </c>
      <c r="B16" s="49">
        <v>36</v>
      </c>
      <c r="C16" s="152" t="str">
        <f xml:space="preserve"> IF(B16="","",setValueToTime(B16))</f>
        <v>3h</v>
      </c>
      <c r="D16" s="166" t="s">
        <v>109</v>
      </c>
      <c r="E16" s="241"/>
      <c r="F16" s="242"/>
      <c r="G16" s="51"/>
    </row>
    <row r="17" spans="1:7" s="52" customFormat="1" x14ac:dyDescent="0.3">
      <c r="A17" s="53"/>
      <c r="B17" s="54"/>
      <c r="C17" s="153" t="str">
        <f t="shared" ref="C17:C23" si="1" xml:space="preserve"> IF(B17="","",setValueToTime(B17))</f>
        <v/>
      </c>
      <c r="D17" s="55"/>
      <c r="E17" s="233"/>
      <c r="F17" s="234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33"/>
      <c r="F18" s="234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33"/>
      <c r="F19" s="234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33"/>
      <c r="F20" s="234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33"/>
      <c r="F21" s="234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33"/>
      <c r="F22" s="234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35"/>
      <c r="F23" s="236"/>
      <c r="G23" s="51"/>
    </row>
    <row r="24" spans="1:7" s="52" customFormat="1" ht="15" thickBot="1" x14ac:dyDescent="0.35">
      <c r="A24" s="111" t="s">
        <v>29</v>
      </c>
      <c r="B24" s="84">
        <f>SUM(B16:B23)</f>
        <v>36</v>
      </c>
      <c r="C24" s="111" t="str">
        <f xml:space="preserve"> setValueToTime(B24)</f>
        <v>3h</v>
      </c>
      <c r="D24" s="120"/>
      <c r="E24" s="237"/>
      <c r="F24" s="238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12</v>
      </c>
      <c r="B26" s="163">
        <v>12</v>
      </c>
      <c r="C26" s="163"/>
      <c r="D26" s="82" t="s">
        <v>15</v>
      </c>
      <c r="E26" s="94">
        <v>44722</v>
      </c>
      <c r="F26" s="126"/>
      <c r="G26" s="46"/>
    </row>
    <row r="27" spans="1:7" s="47" customFormat="1" ht="30" customHeight="1" thickBot="1" x14ac:dyDescent="0.3">
      <c r="A27" s="80" t="s">
        <v>5</v>
      </c>
      <c r="B27" s="150" t="s">
        <v>42</v>
      </c>
      <c r="C27" s="151"/>
      <c r="D27" s="80" t="s">
        <v>13</v>
      </c>
      <c r="E27" s="239" t="s">
        <v>14</v>
      </c>
      <c r="F27" s="240"/>
      <c r="G27" s="46"/>
    </row>
    <row r="28" spans="1:7" s="52" customFormat="1" ht="27" x14ac:dyDescent="0.3">
      <c r="A28" s="48" t="s">
        <v>100</v>
      </c>
      <c r="B28" s="49">
        <v>36</v>
      </c>
      <c r="C28" s="152" t="str">
        <f xml:space="preserve"> IF(B28="","",setValueToTime(B28))</f>
        <v>3h</v>
      </c>
      <c r="D28" s="166" t="s">
        <v>108</v>
      </c>
      <c r="E28" s="241"/>
      <c r="F28" s="242"/>
      <c r="G28" s="51"/>
    </row>
    <row r="29" spans="1:7" s="52" customFormat="1" x14ac:dyDescent="0.3">
      <c r="A29" s="53"/>
      <c r="B29" s="54"/>
      <c r="C29" s="153" t="str">
        <f t="shared" ref="C29:C35" si="2" xml:space="preserve"> IF(B29="","",setValueToTime(B29))</f>
        <v/>
      </c>
      <c r="D29" s="55"/>
      <c r="E29" s="233"/>
      <c r="F29" s="234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233"/>
      <c r="F30" s="234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33"/>
      <c r="F31" s="234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33"/>
      <c r="F32" s="234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33"/>
      <c r="F33" s="234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33"/>
      <c r="F34" s="234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35"/>
      <c r="F35" s="236"/>
      <c r="G35" s="51"/>
    </row>
    <row r="36" spans="1:7" s="52" customFormat="1" ht="15" thickBot="1" x14ac:dyDescent="0.35">
      <c r="A36" s="111" t="s">
        <v>29</v>
      </c>
      <c r="B36" s="84">
        <f>SUM(B28:B35)</f>
        <v>36</v>
      </c>
      <c r="C36" s="111" t="str">
        <f xml:space="preserve"> setValueToTime(B36)</f>
        <v>3h</v>
      </c>
      <c r="D36" s="120"/>
      <c r="E36" s="237"/>
      <c r="F36" s="238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12</v>
      </c>
      <c r="B38" s="163">
        <v>11</v>
      </c>
      <c r="C38" s="163"/>
      <c r="D38" s="82" t="s">
        <v>15</v>
      </c>
      <c r="E38" s="94">
        <v>44722</v>
      </c>
      <c r="F38" s="126"/>
      <c r="G38" s="46"/>
    </row>
    <row r="39" spans="1:7" s="47" customFormat="1" ht="30" customHeight="1" thickBot="1" x14ac:dyDescent="0.3">
      <c r="A39" s="80" t="s">
        <v>5</v>
      </c>
      <c r="B39" s="150" t="s">
        <v>42</v>
      </c>
      <c r="C39" s="151"/>
      <c r="D39" s="80" t="s">
        <v>13</v>
      </c>
      <c r="E39" s="239" t="s">
        <v>14</v>
      </c>
      <c r="F39" s="240"/>
      <c r="G39" s="46"/>
    </row>
    <row r="40" spans="1:7" s="52" customFormat="1" x14ac:dyDescent="0.3">
      <c r="A40" s="48" t="s">
        <v>93</v>
      </c>
      <c r="B40" s="49">
        <v>36</v>
      </c>
      <c r="C40" s="152" t="str">
        <f xml:space="preserve"> IF(B40="","",setValueToTime(B40))</f>
        <v>3h</v>
      </c>
      <c r="D40" s="166" t="s">
        <v>99</v>
      </c>
      <c r="E40" s="241"/>
      <c r="F40" s="242"/>
      <c r="G40" s="51"/>
    </row>
    <row r="41" spans="1:7" s="52" customFormat="1" x14ac:dyDescent="0.3">
      <c r="A41" s="53"/>
      <c r="B41" s="54"/>
      <c r="C41" s="153" t="str">
        <f t="shared" ref="C41:C47" si="3" xml:space="preserve"> IF(B41="","",setValueToTime(B41))</f>
        <v/>
      </c>
      <c r="D41" s="55"/>
      <c r="E41" s="233"/>
      <c r="F41" s="234"/>
      <c r="G41" s="51"/>
    </row>
    <row r="42" spans="1:7" s="52" customFormat="1" x14ac:dyDescent="0.3">
      <c r="A42" s="53"/>
      <c r="B42" s="54"/>
      <c r="C42" s="153" t="str">
        <f t="shared" si="3"/>
        <v/>
      </c>
      <c r="D42" s="55"/>
      <c r="E42" s="233"/>
      <c r="F42" s="234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33"/>
      <c r="F43" s="234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33"/>
      <c r="F44" s="234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33"/>
      <c r="F45" s="234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33"/>
      <c r="F46" s="234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35"/>
      <c r="F47" s="236"/>
      <c r="G47" s="51"/>
    </row>
    <row r="48" spans="1:7" s="52" customFormat="1" ht="15" thickBot="1" x14ac:dyDescent="0.35">
      <c r="A48" s="111" t="s">
        <v>29</v>
      </c>
      <c r="B48" s="84">
        <f>SUM(B40:B47)</f>
        <v>36</v>
      </c>
      <c r="C48" s="111" t="str">
        <f xml:space="preserve"> setValueToTime(B48)</f>
        <v>3h</v>
      </c>
      <c r="D48" s="120"/>
      <c r="E48" s="237"/>
      <c r="F48" s="238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12</v>
      </c>
      <c r="B50" s="163">
        <v>10</v>
      </c>
      <c r="C50" s="163"/>
      <c r="D50" s="82" t="s">
        <v>15</v>
      </c>
      <c r="E50" s="94">
        <v>44720</v>
      </c>
      <c r="F50" s="126"/>
      <c r="G50" s="46"/>
    </row>
    <row r="51" spans="1:7" s="47" customFormat="1" ht="30" customHeight="1" thickBot="1" x14ac:dyDescent="0.3">
      <c r="A51" s="80" t="s">
        <v>5</v>
      </c>
      <c r="B51" s="150" t="s">
        <v>42</v>
      </c>
      <c r="C51" s="151"/>
      <c r="D51" s="80" t="s">
        <v>13</v>
      </c>
      <c r="E51" s="239" t="s">
        <v>14</v>
      </c>
      <c r="F51" s="240"/>
      <c r="G51" s="46"/>
    </row>
    <row r="52" spans="1:7" s="52" customFormat="1" ht="27" x14ac:dyDescent="0.3">
      <c r="A52" s="48" t="s">
        <v>86</v>
      </c>
      <c r="B52" s="49">
        <v>36</v>
      </c>
      <c r="C52" s="152" t="str">
        <f xml:space="preserve"> IF(B52="","",setValueToTime(B52))</f>
        <v>3h</v>
      </c>
      <c r="D52" s="166" t="s">
        <v>88</v>
      </c>
      <c r="E52" s="241"/>
      <c r="F52" s="242"/>
      <c r="G52" s="51"/>
    </row>
    <row r="53" spans="1:7" s="52" customFormat="1" x14ac:dyDescent="0.3">
      <c r="A53" s="53"/>
      <c r="B53" s="54"/>
      <c r="C53" s="153" t="str">
        <f t="shared" ref="C53:C59" si="4" xml:space="preserve"> IF(B53="","",setValueToTime(B53))</f>
        <v/>
      </c>
      <c r="D53" s="55"/>
      <c r="E53" s="233"/>
      <c r="F53" s="234"/>
      <c r="G53" s="51"/>
    </row>
    <row r="54" spans="1:7" s="52" customFormat="1" x14ac:dyDescent="0.3">
      <c r="A54" s="53"/>
      <c r="B54" s="54"/>
      <c r="C54" s="153" t="str">
        <f t="shared" si="4"/>
        <v/>
      </c>
      <c r="D54" s="55"/>
      <c r="E54" s="233"/>
      <c r="F54" s="234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33"/>
      <c r="F55" s="234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33"/>
      <c r="F56" s="234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33"/>
      <c r="F57" s="234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33"/>
      <c r="F58" s="234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35"/>
      <c r="F59" s="236"/>
      <c r="G59" s="51"/>
    </row>
    <row r="60" spans="1:7" s="52" customFormat="1" ht="15" thickBot="1" x14ac:dyDescent="0.35">
      <c r="A60" s="111" t="s">
        <v>29</v>
      </c>
      <c r="B60" s="84">
        <f>SUM(B52:B59)</f>
        <v>36</v>
      </c>
      <c r="C60" s="111" t="str">
        <f xml:space="preserve"> setValueToTime(B60)</f>
        <v>3h</v>
      </c>
      <c r="D60" s="120"/>
      <c r="E60" s="237"/>
      <c r="F60" s="238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12</v>
      </c>
      <c r="B62" s="163">
        <v>9</v>
      </c>
      <c r="C62" s="163"/>
      <c r="D62" s="82" t="s">
        <v>15</v>
      </c>
      <c r="E62" s="94">
        <v>44720</v>
      </c>
      <c r="F62" s="126"/>
      <c r="G62" s="46"/>
    </row>
    <row r="63" spans="1:7" s="47" customFormat="1" ht="30" customHeight="1" thickBot="1" x14ac:dyDescent="0.3">
      <c r="A63" s="80" t="s">
        <v>5</v>
      </c>
      <c r="B63" s="150" t="s">
        <v>42</v>
      </c>
      <c r="C63" s="151"/>
      <c r="D63" s="80" t="s">
        <v>13</v>
      </c>
      <c r="E63" s="239" t="s">
        <v>14</v>
      </c>
      <c r="F63" s="240"/>
      <c r="G63" s="46"/>
    </row>
    <row r="64" spans="1:7" s="52" customFormat="1" ht="27" x14ac:dyDescent="0.3">
      <c r="A64" s="48" t="s">
        <v>86</v>
      </c>
      <c r="B64" s="49">
        <v>45</v>
      </c>
      <c r="C64" s="152" t="str">
        <f xml:space="preserve"> IF(B64="","",setValueToTime(B64))</f>
        <v>3h45min</v>
      </c>
      <c r="D64" s="166" t="s">
        <v>87</v>
      </c>
      <c r="E64" s="241"/>
      <c r="F64" s="242"/>
      <c r="G64" s="51"/>
    </row>
    <row r="65" spans="1:7" s="52" customFormat="1" x14ac:dyDescent="0.3">
      <c r="A65" s="53"/>
      <c r="B65" s="54"/>
      <c r="C65" s="153" t="str">
        <f t="shared" ref="C65:C71" si="5" xml:space="preserve"> IF(B65="","",setValueToTime(B65))</f>
        <v/>
      </c>
      <c r="D65" s="55"/>
      <c r="E65" s="233"/>
      <c r="F65" s="234"/>
      <c r="G65" s="51"/>
    </row>
    <row r="66" spans="1:7" s="52" customFormat="1" x14ac:dyDescent="0.3">
      <c r="A66" s="53"/>
      <c r="B66" s="54"/>
      <c r="C66" s="153" t="str">
        <f t="shared" si="5"/>
        <v/>
      </c>
      <c r="D66" s="55"/>
      <c r="E66" s="233"/>
      <c r="F66" s="234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33"/>
      <c r="F67" s="234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33"/>
      <c r="F68" s="234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33"/>
      <c r="F69" s="234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33"/>
      <c r="F70" s="234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35"/>
      <c r="F71" s="236"/>
      <c r="G71" s="51"/>
    </row>
    <row r="72" spans="1:7" s="52" customFormat="1" ht="15" thickBot="1" x14ac:dyDescent="0.35">
      <c r="A72" s="111" t="s">
        <v>29</v>
      </c>
      <c r="B72" s="84">
        <f>SUM(B64:B71)</f>
        <v>45</v>
      </c>
      <c r="C72" s="111" t="str">
        <f xml:space="preserve"> setValueToTime(B72)</f>
        <v>3h45min</v>
      </c>
      <c r="D72" s="120"/>
      <c r="E72" s="237"/>
      <c r="F72" s="238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12</v>
      </c>
      <c r="B74" s="163">
        <v>8</v>
      </c>
      <c r="C74" s="163"/>
      <c r="D74" s="82" t="s">
        <v>15</v>
      </c>
      <c r="E74" s="94">
        <v>44719</v>
      </c>
      <c r="F74" s="126"/>
      <c r="G74" s="46"/>
    </row>
    <row r="75" spans="1:7" s="47" customFormat="1" ht="30" customHeight="1" thickBot="1" x14ac:dyDescent="0.3">
      <c r="A75" s="80" t="s">
        <v>5</v>
      </c>
      <c r="B75" s="150" t="s">
        <v>42</v>
      </c>
      <c r="C75" s="151"/>
      <c r="D75" s="80" t="s">
        <v>13</v>
      </c>
      <c r="E75" s="239" t="s">
        <v>14</v>
      </c>
      <c r="F75" s="240"/>
      <c r="G75" s="46"/>
    </row>
    <row r="76" spans="1:7" s="52" customFormat="1" ht="27" x14ac:dyDescent="0.3">
      <c r="A76" s="48" t="s">
        <v>50</v>
      </c>
      <c r="B76" s="49">
        <v>36</v>
      </c>
      <c r="C76" s="152" t="str">
        <f xml:space="preserve"> IF(B76="","",setValueToTime(B76))</f>
        <v>3h</v>
      </c>
      <c r="D76" s="166" t="s">
        <v>82</v>
      </c>
      <c r="E76" s="241"/>
      <c r="F76" s="242"/>
      <c r="G76" s="51"/>
    </row>
    <row r="77" spans="1:7" s="52" customFormat="1" x14ac:dyDescent="0.3">
      <c r="A77" s="53"/>
      <c r="B77" s="54"/>
      <c r="C77" s="153" t="str">
        <f t="shared" ref="C77:C83" si="6" xml:space="preserve"> IF(B77="","",setValueToTime(B77))</f>
        <v/>
      </c>
      <c r="D77" s="55"/>
      <c r="E77" s="233"/>
      <c r="F77" s="234"/>
      <c r="G77" s="51"/>
    </row>
    <row r="78" spans="1:7" s="52" customFormat="1" x14ac:dyDescent="0.3">
      <c r="A78" s="53"/>
      <c r="B78" s="54"/>
      <c r="C78" s="153" t="str">
        <f t="shared" si="6"/>
        <v/>
      </c>
      <c r="D78" s="55"/>
      <c r="E78" s="233"/>
      <c r="F78" s="234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33"/>
      <c r="F79" s="234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33"/>
      <c r="F80" s="234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33"/>
      <c r="F81" s="234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33"/>
      <c r="F82" s="234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35"/>
      <c r="F83" s="236"/>
      <c r="G83" s="51"/>
    </row>
    <row r="84" spans="1:7" s="52" customFormat="1" ht="15" thickBot="1" x14ac:dyDescent="0.35">
      <c r="A84" s="111" t="s">
        <v>29</v>
      </c>
      <c r="B84" s="84">
        <f>SUM(B76:B83)</f>
        <v>36</v>
      </c>
      <c r="C84" s="111" t="str">
        <f xml:space="preserve"> setValueToTime(B84)</f>
        <v>3h</v>
      </c>
      <c r="D84" s="120"/>
      <c r="E84" s="237"/>
      <c r="F84" s="238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12</v>
      </c>
      <c r="B86" s="163">
        <v>7</v>
      </c>
      <c r="C86" s="163"/>
      <c r="D86" s="82" t="s">
        <v>15</v>
      </c>
      <c r="E86" s="94">
        <v>44715</v>
      </c>
      <c r="F86" s="126"/>
      <c r="G86" s="46"/>
    </row>
    <row r="87" spans="1:7" s="47" customFormat="1" ht="30" customHeight="1" thickBot="1" x14ac:dyDescent="0.3">
      <c r="A87" s="80" t="s">
        <v>5</v>
      </c>
      <c r="B87" s="150" t="s">
        <v>42</v>
      </c>
      <c r="C87" s="151"/>
      <c r="D87" s="80" t="s">
        <v>13</v>
      </c>
      <c r="E87" s="239" t="s">
        <v>14</v>
      </c>
      <c r="F87" s="240"/>
      <c r="G87" s="46"/>
    </row>
    <row r="88" spans="1:7" s="52" customFormat="1" ht="27" x14ac:dyDescent="0.3">
      <c r="A88" s="48" t="s">
        <v>48</v>
      </c>
      <c r="B88" s="49">
        <v>36</v>
      </c>
      <c r="C88" s="152" t="str">
        <f xml:space="preserve"> IF(B88="","",setValueToTime(B88))</f>
        <v>3h</v>
      </c>
      <c r="D88" s="166" t="s">
        <v>60</v>
      </c>
      <c r="E88" s="241"/>
      <c r="F88" s="242"/>
      <c r="G88" s="51"/>
    </row>
    <row r="89" spans="1:7" s="52" customFormat="1" x14ac:dyDescent="0.3">
      <c r="A89" s="53"/>
      <c r="B89" s="54"/>
      <c r="C89" s="153" t="str">
        <f t="shared" ref="C89:C95" si="7" xml:space="preserve"> IF(B89="","",setValueToTime(B89))</f>
        <v/>
      </c>
      <c r="D89" s="55"/>
      <c r="E89" s="233"/>
      <c r="F89" s="234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233"/>
      <c r="F90" s="234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33"/>
      <c r="F91" s="234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33"/>
      <c r="F92" s="234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33"/>
      <c r="F93" s="234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33"/>
      <c r="F94" s="234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35"/>
      <c r="F95" s="236"/>
      <c r="G95" s="51"/>
    </row>
    <row r="96" spans="1:7" s="52" customFormat="1" ht="15" thickBot="1" x14ac:dyDescent="0.35">
      <c r="A96" s="111" t="s">
        <v>29</v>
      </c>
      <c r="B96" s="84">
        <f>SUM(B88:B95)</f>
        <v>36</v>
      </c>
      <c r="C96" s="111" t="str">
        <f xml:space="preserve"> setValueToTime(B96)</f>
        <v>3h</v>
      </c>
      <c r="D96" s="120"/>
      <c r="E96" s="237"/>
      <c r="F96" s="238"/>
      <c r="G96" s="51"/>
    </row>
    <row r="97" spans="1:7" s="59" customFormat="1" ht="15" thickBot="1" x14ac:dyDescent="0.35">
      <c r="A97" s="79"/>
      <c r="B97" s="79"/>
      <c r="C97" s="79"/>
      <c r="D97" s="79"/>
      <c r="E97" s="79"/>
      <c r="F97" s="79"/>
      <c r="G97" s="58"/>
    </row>
    <row r="98" spans="1:7" s="47" customFormat="1" ht="30" customHeight="1" thickBot="1" x14ac:dyDescent="0.3">
      <c r="A98" s="81" t="s">
        <v>12</v>
      </c>
      <c r="B98" s="163">
        <v>6</v>
      </c>
      <c r="C98" s="163"/>
      <c r="D98" s="82" t="s">
        <v>15</v>
      </c>
      <c r="E98" s="94">
        <v>44715</v>
      </c>
      <c r="F98" s="126"/>
      <c r="G98" s="46"/>
    </row>
    <row r="99" spans="1:7" s="47" customFormat="1" ht="30" customHeight="1" thickBot="1" x14ac:dyDescent="0.3">
      <c r="A99" s="80" t="s">
        <v>5</v>
      </c>
      <c r="B99" s="150" t="s">
        <v>42</v>
      </c>
      <c r="C99" s="151"/>
      <c r="D99" s="80" t="s">
        <v>13</v>
      </c>
      <c r="E99" s="239" t="s">
        <v>14</v>
      </c>
      <c r="F99" s="240"/>
      <c r="G99" s="46"/>
    </row>
    <row r="100" spans="1:7" s="52" customFormat="1" x14ac:dyDescent="0.3">
      <c r="A100" s="48" t="s">
        <v>47</v>
      </c>
      <c r="B100" s="49">
        <v>36</v>
      </c>
      <c r="C100" s="152" t="str">
        <f xml:space="preserve"> IF(B100="","",setValueToTime(B100))</f>
        <v>3h</v>
      </c>
      <c r="D100" s="166" t="s">
        <v>59</v>
      </c>
      <c r="E100" s="241"/>
      <c r="F100" s="242"/>
      <c r="G100" s="51"/>
    </row>
    <row r="101" spans="1:7" s="52" customFormat="1" x14ac:dyDescent="0.3">
      <c r="A101" s="53"/>
      <c r="B101" s="54"/>
      <c r="C101" s="153" t="str">
        <f t="shared" ref="C101:C107" si="8" xml:space="preserve"> IF(B101="","",setValueToTime(B101))</f>
        <v/>
      </c>
      <c r="D101" s="55"/>
      <c r="E101" s="233"/>
      <c r="F101" s="234"/>
      <c r="G101" s="51"/>
    </row>
    <row r="102" spans="1:7" s="52" customFormat="1" x14ac:dyDescent="0.3">
      <c r="A102" s="53"/>
      <c r="B102" s="54"/>
      <c r="C102" s="153" t="str">
        <f t="shared" si="8"/>
        <v/>
      </c>
      <c r="D102" s="55"/>
      <c r="E102" s="233"/>
      <c r="F102" s="234"/>
      <c r="G102" s="51"/>
    </row>
    <row r="103" spans="1:7" s="52" customFormat="1" x14ac:dyDescent="0.3">
      <c r="A103" s="53"/>
      <c r="B103" s="54"/>
      <c r="C103" s="153" t="str">
        <f t="shared" si="8"/>
        <v/>
      </c>
      <c r="D103" s="55"/>
      <c r="E103" s="233"/>
      <c r="F103" s="234"/>
      <c r="G103" s="51"/>
    </row>
    <row r="104" spans="1:7" s="52" customFormat="1" x14ac:dyDescent="0.3">
      <c r="A104" s="54"/>
      <c r="B104" s="54"/>
      <c r="C104" s="154" t="str">
        <f t="shared" si="8"/>
        <v/>
      </c>
      <c r="D104" s="55"/>
      <c r="E104" s="233"/>
      <c r="F104" s="234"/>
      <c r="G104" s="51"/>
    </row>
    <row r="105" spans="1:7" s="52" customFormat="1" x14ac:dyDescent="0.3">
      <c r="A105" s="54"/>
      <c r="B105" s="54"/>
      <c r="C105" s="154" t="str">
        <f t="shared" si="8"/>
        <v/>
      </c>
      <c r="D105" s="55"/>
      <c r="E105" s="233"/>
      <c r="F105" s="234"/>
      <c r="G105" s="51"/>
    </row>
    <row r="106" spans="1:7" s="52" customFormat="1" x14ac:dyDescent="0.3">
      <c r="A106" s="54"/>
      <c r="B106" s="54"/>
      <c r="C106" s="154" t="str">
        <f t="shared" si="8"/>
        <v/>
      </c>
      <c r="D106" s="55"/>
      <c r="E106" s="233"/>
      <c r="F106" s="234"/>
      <c r="G106" s="51"/>
    </row>
    <row r="107" spans="1:7" s="52" customFormat="1" ht="15" thickBot="1" x14ac:dyDescent="0.35">
      <c r="A107" s="56"/>
      <c r="B107" s="56"/>
      <c r="C107" s="155" t="str">
        <f t="shared" si="8"/>
        <v/>
      </c>
      <c r="D107" s="57"/>
      <c r="E107" s="235"/>
      <c r="F107" s="236"/>
      <c r="G107" s="51"/>
    </row>
    <row r="108" spans="1:7" s="52" customFormat="1" ht="15" thickBot="1" x14ac:dyDescent="0.35">
      <c r="A108" s="111" t="s">
        <v>29</v>
      </c>
      <c r="B108" s="84">
        <f>SUM(B100:B107)</f>
        <v>36</v>
      </c>
      <c r="C108" s="111" t="str">
        <f xml:space="preserve"> setValueToTime(B108)</f>
        <v>3h</v>
      </c>
      <c r="D108" s="120"/>
      <c r="E108" s="237"/>
      <c r="F108" s="238"/>
      <c r="G108" s="51"/>
    </row>
    <row r="109" spans="1:7" s="59" customFormat="1" ht="15" thickBot="1" x14ac:dyDescent="0.35">
      <c r="A109" s="79"/>
      <c r="B109" s="79"/>
      <c r="C109" s="79"/>
      <c r="D109" s="79"/>
      <c r="E109" s="79"/>
      <c r="F109" s="79"/>
      <c r="G109" s="58"/>
    </row>
    <row r="110" spans="1:7" s="47" customFormat="1" ht="30" customHeight="1" thickBot="1" x14ac:dyDescent="0.3">
      <c r="A110" s="81" t="s">
        <v>12</v>
      </c>
      <c r="B110" s="163">
        <v>5</v>
      </c>
      <c r="C110" s="163"/>
      <c r="D110" s="82" t="s">
        <v>15</v>
      </c>
      <c r="E110" s="94">
        <v>44713</v>
      </c>
      <c r="F110" s="126"/>
      <c r="G110" s="46"/>
    </row>
    <row r="111" spans="1:7" s="47" customFormat="1" ht="30" customHeight="1" thickBot="1" x14ac:dyDescent="0.3">
      <c r="A111" s="80" t="s">
        <v>5</v>
      </c>
      <c r="B111" s="150" t="s">
        <v>42</v>
      </c>
      <c r="C111" s="151"/>
      <c r="D111" s="80" t="s">
        <v>13</v>
      </c>
      <c r="E111" s="239" t="s">
        <v>14</v>
      </c>
      <c r="F111" s="240"/>
      <c r="G111" s="46"/>
    </row>
    <row r="112" spans="1:7" s="52" customFormat="1" x14ac:dyDescent="0.3">
      <c r="A112" s="48" t="s">
        <v>33</v>
      </c>
      <c r="B112" s="49">
        <v>36</v>
      </c>
      <c r="C112" s="152" t="str">
        <f xml:space="preserve"> IF(B112="","",setValueToTime(B112))</f>
        <v>3h</v>
      </c>
      <c r="D112" s="166" t="s">
        <v>58</v>
      </c>
      <c r="E112" s="241"/>
      <c r="F112" s="242"/>
      <c r="G112" s="51"/>
    </row>
    <row r="113" spans="1:7" s="52" customFormat="1" x14ac:dyDescent="0.3">
      <c r="A113" s="53"/>
      <c r="B113" s="54"/>
      <c r="C113" s="153" t="str">
        <f t="shared" ref="C113:C119" si="9" xml:space="preserve"> IF(B113="","",setValueToTime(B113))</f>
        <v/>
      </c>
      <c r="D113" s="55"/>
      <c r="E113" s="233"/>
      <c r="F113" s="234"/>
      <c r="G113" s="51"/>
    </row>
    <row r="114" spans="1:7" s="52" customFormat="1" x14ac:dyDescent="0.3">
      <c r="A114" s="53"/>
      <c r="B114" s="54"/>
      <c r="C114" s="153" t="str">
        <f t="shared" si="9"/>
        <v/>
      </c>
      <c r="D114" s="55"/>
      <c r="E114" s="233"/>
      <c r="F114" s="234"/>
      <c r="G114" s="51"/>
    </row>
    <row r="115" spans="1:7" s="52" customFormat="1" x14ac:dyDescent="0.3">
      <c r="A115" s="53"/>
      <c r="B115" s="54"/>
      <c r="C115" s="153" t="str">
        <f t="shared" si="9"/>
        <v/>
      </c>
      <c r="D115" s="55"/>
      <c r="E115" s="233"/>
      <c r="F115" s="234"/>
      <c r="G115" s="51"/>
    </row>
    <row r="116" spans="1:7" s="52" customFormat="1" x14ac:dyDescent="0.3">
      <c r="A116" s="54"/>
      <c r="B116" s="54"/>
      <c r="C116" s="154" t="str">
        <f t="shared" si="9"/>
        <v/>
      </c>
      <c r="D116" s="55"/>
      <c r="E116" s="233"/>
      <c r="F116" s="234"/>
      <c r="G116" s="51"/>
    </row>
    <row r="117" spans="1:7" s="52" customFormat="1" x14ac:dyDescent="0.3">
      <c r="A117" s="54"/>
      <c r="B117" s="54"/>
      <c r="C117" s="154" t="str">
        <f t="shared" si="9"/>
        <v/>
      </c>
      <c r="D117" s="55"/>
      <c r="E117" s="233"/>
      <c r="F117" s="234"/>
      <c r="G117" s="51"/>
    </row>
    <row r="118" spans="1:7" s="52" customFormat="1" x14ac:dyDescent="0.3">
      <c r="A118" s="54"/>
      <c r="B118" s="54"/>
      <c r="C118" s="154" t="str">
        <f t="shared" si="9"/>
        <v/>
      </c>
      <c r="D118" s="55"/>
      <c r="E118" s="233"/>
      <c r="F118" s="234"/>
      <c r="G118" s="51"/>
    </row>
    <row r="119" spans="1:7" s="52" customFormat="1" ht="15" thickBot="1" x14ac:dyDescent="0.35">
      <c r="A119" s="56"/>
      <c r="B119" s="56"/>
      <c r="C119" s="155" t="str">
        <f t="shared" si="9"/>
        <v/>
      </c>
      <c r="D119" s="57"/>
      <c r="E119" s="235"/>
      <c r="F119" s="236"/>
      <c r="G119" s="51"/>
    </row>
    <row r="120" spans="1:7" s="52" customFormat="1" ht="15" thickBot="1" x14ac:dyDescent="0.35">
      <c r="A120" s="111" t="s">
        <v>29</v>
      </c>
      <c r="B120" s="84">
        <f>SUM(B112:B119)</f>
        <v>36</v>
      </c>
      <c r="C120" s="111" t="str">
        <f xml:space="preserve"> setValueToTime(B120)</f>
        <v>3h</v>
      </c>
      <c r="D120" s="120"/>
      <c r="E120" s="237"/>
      <c r="F120" s="238"/>
      <c r="G120" s="51"/>
    </row>
    <row r="121" spans="1:7" s="59" customFormat="1" ht="15" thickBot="1" x14ac:dyDescent="0.35">
      <c r="A121" s="79"/>
      <c r="B121" s="79"/>
      <c r="C121" s="79"/>
      <c r="D121" s="79"/>
      <c r="E121" s="79"/>
      <c r="F121" s="79"/>
      <c r="G121" s="58"/>
    </row>
    <row r="122" spans="1:7" s="47" customFormat="1" ht="30" customHeight="1" thickBot="1" x14ac:dyDescent="0.3">
      <c r="A122" s="81" t="s">
        <v>12</v>
      </c>
      <c r="B122" s="163">
        <v>4</v>
      </c>
      <c r="C122" s="163"/>
      <c r="D122" s="82" t="s">
        <v>15</v>
      </c>
      <c r="E122" s="94">
        <v>44713</v>
      </c>
      <c r="F122" s="126"/>
      <c r="G122" s="46"/>
    </row>
    <row r="123" spans="1:7" s="47" customFormat="1" ht="30" customHeight="1" thickBot="1" x14ac:dyDescent="0.3">
      <c r="A123" s="80" t="s">
        <v>5</v>
      </c>
      <c r="B123" s="150" t="s">
        <v>42</v>
      </c>
      <c r="C123" s="151"/>
      <c r="D123" s="80" t="s">
        <v>13</v>
      </c>
      <c r="E123" s="239" t="s">
        <v>14</v>
      </c>
      <c r="F123" s="240"/>
      <c r="G123" s="46"/>
    </row>
    <row r="124" spans="1:7" s="52" customFormat="1" x14ac:dyDescent="0.3">
      <c r="A124" s="48" t="s">
        <v>46</v>
      </c>
      <c r="B124" s="49">
        <v>12</v>
      </c>
      <c r="C124" s="152" t="str">
        <f xml:space="preserve"> IF(B124="","",setValueToTime(B124))</f>
        <v>1h</v>
      </c>
      <c r="D124" s="166" t="s">
        <v>56</v>
      </c>
      <c r="E124" s="241"/>
      <c r="F124" s="242"/>
      <c r="G124" s="51"/>
    </row>
    <row r="125" spans="1:7" s="52" customFormat="1" x14ac:dyDescent="0.3">
      <c r="A125" s="53" t="s">
        <v>33</v>
      </c>
      <c r="B125" s="54">
        <v>33</v>
      </c>
      <c r="C125" s="153" t="str">
        <f t="shared" ref="C125:C131" si="10" xml:space="preserve"> IF(B125="","",setValueToTime(B125))</f>
        <v>2h45min</v>
      </c>
      <c r="D125" s="167" t="s">
        <v>57</v>
      </c>
      <c r="E125" s="233"/>
      <c r="F125" s="234"/>
      <c r="G125" s="51"/>
    </row>
    <row r="126" spans="1:7" s="52" customFormat="1" x14ac:dyDescent="0.3">
      <c r="A126" s="53"/>
      <c r="B126" s="54"/>
      <c r="C126" s="153" t="str">
        <f t="shared" si="10"/>
        <v/>
      </c>
      <c r="D126" s="55"/>
      <c r="E126" s="233"/>
      <c r="F126" s="234"/>
      <c r="G126" s="51"/>
    </row>
    <row r="127" spans="1:7" s="52" customFormat="1" x14ac:dyDescent="0.3">
      <c r="A127" s="53"/>
      <c r="B127" s="54"/>
      <c r="C127" s="153" t="str">
        <f t="shared" si="10"/>
        <v/>
      </c>
      <c r="D127" s="55"/>
      <c r="E127" s="233"/>
      <c r="F127" s="234"/>
      <c r="G127" s="51"/>
    </row>
    <row r="128" spans="1:7" s="52" customFormat="1" x14ac:dyDescent="0.3">
      <c r="A128" s="54"/>
      <c r="B128" s="54"/>
      <c r="C128" s="154" t="str">
        <f t="shared" si="10"/>
        <v/>
      </c>
      <c r="D128" s="55"/>
      <c r="E128" s="233"/>
      <c r="F128" s="234"/>
      <c r="G128" s="51"/>
    </row>
    <row r="129" spans="1:7" s="52" customFormat="1" x14ac:dyDescent="0.3">
      <c r="A129" s="54"/>
      <c r="B129" s="54"/>
      <c r="C129" s="154" t="str">
        <f t="shared" si="10"/>
        <v/>
      </c>
      <c r="D129" s="55"/>
      <c r="E129" s="233"/>
      <c r="F129" s="234"/>
      <c r="G129" s="51"/>
    </row>
    <row r="130" spans="1:7" s="52" customFormat="1" x14ac:dyDescent="0.3">
      <c r="A130" s="54"/>
      <c r="B130" s="54"/>
      <c r="C130" s="154" t="str">
        <f t="shared" si="10"/>
        <v/>
      </c>
      <c r="D130" s="55"/>
      <c r="E130" s="233"/>
      <c r="F130" s="234"/>
      <c r="G130" s="51"/>
    </row>
    <row r="131" spans="1:7" s="52" customFormat="1" ht="15" thickBot="1" x14ac:dyDescent="0.35">
      <c r="A131" s="56"/>
      <c r="B131" s="56"/>
      <c r="C131" s="155" t="str">
        <f t="shared" si="10"/>
        <v/>
      </c>
      <c r="D131" s="57"/>
      <c r="E131" s="235"/>
      <c r="F131" s="236"/>
      <c r="G131" s="51"/>
    </row>
    <row r="132" spans="1:7" s="52" customFormat="1" ht="15" thickBot="1" x14ac:dyDescent="0.35">
      <c r="A132" s="111" t="s">
        <v>29</v>
      </c>
      <c r="B132" s="84">
        <f>SUM(B124:B131)</f>
        <v>45</v>
      </c>
      <c r="C132" s="111" t="str">
        <f xml:space="preserve"> setValueToTime(B132)</f>
        <v>3h45min</v>
      </c>
      <c r="D132" s="120"/>
      <c r="E132" s="237"/>
      <c r="F132" s="238"/>
      <c r="G132" s="51"/>
    </row>
    <row r="133" spans="1:7" s="59" customFormat="1" ht="15" thickBot="1" x14ac:dyDescent="0.35">
      <c r="A133" s="79"/>
      <c r="B133" s="79"/>
      <c r="C133" s="79"/>
      <c r="D133" s="79"/>
      <c r="E133" s="79"/>
      <c r="F133" s="79"/>
      <c r="G133" s="58"/>
    </row>
    <row r="134" spans="1:7" s="47" customFormat="1" ht="30" customHeight="1" thickBot="1" x14ac:dyDescent="0.3">
      <c r="A134" s="81" t="s">
        <v>12</v>
      </c>
      <c r="B134" s="163">
        <v>3</v>
      </c>
      <c r="C134" s="163"/>
      <c r="D134" s="82" t="s">
        <v>15</v>
      </c>
      <c r="E134" s="94">
        <v>44712</v>
      </c>
      <c r="F134" s="126"/>
      <c r="G134" s="46"/>
    </row>
    <row r="135" spans="1:7" s="47" customFormat="1" ht="30" customHeight="1" thickBot="1" x14ac:dyDescent="0.3">
      <c r="A135" s="80" t="s">
        <v>5</v>
      </c>
      <c r="B135" s="150" t="s">
        <v>42</v>
      </c>
      <c r="C135" s="151"/>
      <c r="D135" s="80" t="s">
        <v>13</v>
      </c>
      <c r="E135" s="239" t="s">
        <v>14</v>
      </c>
      <c r="F135" s="240"/>
      <c r="G135" s="46"/>
    </row>
    <row r="136" spans="1:7" s="52" customFormat="1" x14ac:dyDescent="0.3">
      <c r="A136" s="48" t="s">
        <v>33</v>
      </c>
      <c r="B136" s="49">
        <v>12</v>
      </c>
      <c r="C136" s="152" t="str">
        <f xml:space="preserve"> IF(B136="","",setValueToTime(B136))</f>
        <v>1h</v>
      </c>
      <c r="D136" s="166" t="s">
        <v>53</v>
      </c>
      <c r="E136" s="241"/>
      <c r="F136" s="242"/>
      <c r="G136" s="51"/>
    </row>
    <row r="137" spans="1:7" s="52" customFormat="1" ht="27" x14ac:dyDescent="0.3">
      <c r="A137" s="53" t="s">
        <v>54</v>
      </c>
      <c r="B137" s="54">
        <v>24</v>
      </c>
      <c r="C137" s="153" t="str">
        <f t="shared" ref="C137:C143" si="11" xml:space="preserve"> IF(B137="","",setValueToTime(B137))</f>
        <v>2h</v>
      </c>
      <c r="D137" s="167" t="s">
        <v>55</v>
      </c>
      <c r="E137" s="233"/>
      <c r="F137" s="234"/>
      <c r="G137" s="51"/>
    </row>
    <row r="138" spans="1:7" s="52" customFormat="1" x14ac:dyDescent="0.3">
      <c r="A138" s="53"/>
      <c r="B138" s="54"/>
      <c r="C138" s="153" t="str">
        <f t="shared" si="11"/>
        <v/>
      </c>
      <c r="D138" s="55"/>
      <c r="E138" s="233"/>
      <c r="F138" s="234"/>
      <c r="G138" s="51"/>
    </row>
    <row r="139" spans="1:7" s="52" customFormat="1" x14ac:dyDescent="0.3">
      <c r="A139" s="53"/>
      <c r="B139" s="54"/>
      <c r="C139" s="153" t="str">
        <f t="shared" si="11"/>
        <v/>
      </c>
      <c r="D139" s="55"/>
      <c r="E139" s="233"/>
      <c r="F139" s="234"/>
      <c r="G139" s="51"/>
    </row>
    <row r="140" spans="1:7" s="52" customFormat="1" x14ac:dyDescent="0.3">
      <c r="A140" s="54"/>
      <c r="B140" s="54"/>
      <c r="C140" s="154" t="str">
        <f t="shared" si="11"/>
        <v/>
      </c>
      <c r="D140" s="55"/>
      <c r="E140" s="233"/>
      <c r="F140" s="234"/>
      <c r="G140" s="51"/>
    </row>
    <row r="141" spans="1:7" s="52" customFormat="1" x14ac:dyDescent="0.3">
      <c r="A141" s="54"/>
      <c r="B141" s="54"/>
      <c r="C141" s="154" t="str">
        <f t="shared" si="11"/>
        <v/>
      </c>
      <c r="D141" s="55"/>
      <c r="E141" s="233"/>
      <c r="F141" s="234"/>
      <c r="G141" s="51"/>
    </row>
    <row r="142" spans="1:7" s="52" customFormat="1" x14ac:dyDescent="0.3">
      <c r="A142" s="54"/>
      <c r="B142" s="54"/>
      <c r="C142" s="154" t="str">
        <f t="shared" si="11"/>
        <v/>
      </c>
      <c r="D142" s="55"/>
      <c r="E142" s="233"/>
      <c r="F142" s="234"/>
      <c r="G142" s="51"/>
    </row>
    <row r="143" spans="1:7" s="52" customFormat="1" ht="15" thickBot="1" x14ac:dyDescent="0.35">
      <c r="A143" s="56"/>
      <c r="B143" s="56"/>
      <c r="C143" s="155" t="str">
        <f t="shared" si="11"/>
        <v/>
      </c>
      <c r="D143" s="57"/>
      <c r="E143" s="235"/>
      <c r="F143" s="236"/>
      <c r="G143" s="51"/>
    </row>
    <row r="144" spans="1:7" s="52" customFormat="1" ht="15" thickBot="1" x14ac:dyDescent="0.35">
      <c r="A144" s="111" t="s">
        <v>29</v>
      </c>
      <c r="B144" s="84">
        <f>SUM(B136:B143)</f>
        <v>36</v>
      </c>
      <c r="C144" s="111" t="str">
        <f xml:space="preserve"> setValueToTime(B144)</f>
        <v>3h</v>
      </c>
      <c r="D144" s="120"/>
      <c r="E144" s="237"/>
      <c r="F144" s="238"/>
      <c r="G144" s="51"/>
    </row>
    <row r="145" spans="1:7" s="59" customFormat="1" ht="15" thickBot="1" x14ac:dyDescent="0.35">
      <c r="A145" s="79"/>
      <c r="B145" s="79"/>
      <c r="C145" s="79"/>
      <c r="D145" s="79"/>
      <c r="E145" s="79"/>
      <c r="F145" s="79"/>
      <c r="G145" s="58"/>
    </row>
    <row r="146" spans="1:7" s="47" customFormat="1" ht="30" customHeight="1" thickBot="1" x14ac:dyDescent="0.3">
      <c r="A146" s="81" t="s">
        <v>12</v>
      </c>
      <c r="B146" s="163">
        <v>2</v>
      </c>
      <c r="C146" s="163"/>
      <c r="D146" s="82" t="s">
        <v>15</v>
      </c>
      <c r="E146" s="94">
        <v>44711</v>
      </c>
      <c r="F146" s="126"/>
      <c r="G146" s="46"/>
    </row>
    <row r="147" spans="1:7" s="47" customFormat="1" ht="30" customHeight="1" thickBot="1" x14ac:dyDescent="0.3">
      <c r="A147" s="80" t="s">
        <v>5</v>
      </c>
      <c r="B147" s="150" t="s">
        <v>42</v>
      </c>
      <c r="C147" s="151"/>
      <c r="D147" s="80" t="s">
        <v>13</v>
      </c>
      <c r="E147" s="239" t="s">
        <v>14</v>
      </c>
      <c r="F147" s="240"/>
      <c r="G147" s="46"/>
    </row>
    <row r="148" spans="1:7" s="52" customFormat="1" x14ac:dyDescent="0.3">
      <c r="A148" s="48" t="s">
        <v>46</v>
      </c>
      <c r="B148" s="49">
        <v>27</v>
      </c>
      <c r="C148" s="152" t="str">
        <f xml:space="preserve"> IF(B148="","",setValueToTime(B148))</f>
        <v>2h15min</v>
      </c>
      <c r="D148" s="166" t="s">
        <v>52</v>
      </c>
      <c r="E148" s="241"/>
      <c r="F148" s="242"/>
      <c r="G148" s="51"/>
    </row>
    <row r="149" spans="1:7" s="52" customFormat="1" x14ac:dyDescent="0.3">
      <c r="A149" s="53"/>
      <c r="B149" s="54"/>
      <c r="C149" s="153" t="str">
        <f t="shared" ref="C149:C155" si="12" xml:space="preserve"> IF(B149="","",setValueToTime(B149))</f>
        <v/>
      </c>
      <c r="D149" s="55"/>
      <c r="E149" s="233"/>
      <c r="F149" s="234"/>
      <c r="G149" s="51"/>
    </row>
    <row r="150" spans="1:7" s="52" customFormat="1" x14ac:dyDescent="0.3">
      <c r="A150" s="53"/>
      <c r="B150" s="54"/>
      <c r="C150" s="153" t="str">
        <f t="shared" si="12"/>
        <v/>
      </c>
      <c r="D150" s="55"/>
      <c r="E150" s="233"/>
      <c r="F150" s="234"/>
      <c r="G150" s="51"/>
    </row>
    <row r="151" spans="1:7" s="52" customFormat="1" x14ac:dyDescent="0.3">
      <c r="A151" s="53"/>
      <c r="B151" s="54"/>
      <c r="C151" s="153" t="str">
        <f t="shared" si="12"/>
        <v/>
      </c>
      <c r="D151" s="55"/>
      <c r="E151" s="233"/>
      <c r="F151" s="234"/>
      <c r="G151" s="51"/>
    </row>
    <row r="152" spans="1:7" s="52" customFormat="1" x14ac:dyDescent="0.3">
      <c r="A152" s="54"/>
      <c r="B152" s="54"/>
      <c r="C152" s="154" t="str">
        <f t="shared" si="12"/>
        <v/>
      </c>
      <c r="D152" s="55"/>
      <c r="E152" s="233"/>
      <c r="F152" s="234"/>
      <c r="G152" s="51"/>
    </row>
    <row r="153" spans="1:7" s="52" customFormat="1" x14ac:dyDescent="0.3">
      <c r="A153" s="54"/>
      <c r="B153" s="54"/>
      <c r="C153" s="154" t="str">
        <f t="shared" si="12"/>
        <v/>
      </c>
      <c r="D153" s="55"/>
      <c r="E153" s="233"/>
      <c r="F153" s="234"/>
      <c r="G153" s="51"/>
    </row>
    <row r="154" spans="1:7" s="52" customFormat="1" x14ac:dyDescent="0.3">
      <c r="A154" s="54"/>
      <c r="B154" s="54"/>
      <c r="C154" s="154" t="str">
        <f t="shared" si="12"/>
        <v/>
      </c>
      <c r="D154" s="55"/>
      <c r="E154" s="233"/>
      <c r="F154" s="234"/>
      <c r="G154" s="51"/>
    </row>
    <row r="155" spans="1:7" s="52" customFormat="1" ht="15" thickBot="1" x14ac:dyDescent="0.35">
      <c r="A155" s="56"/>
      <c r="B155" s="56"/>
      <c r="C155" s="155" t="str">
        <f t="shared" si="12"/>
        <v/>
      </c>
      <c r="D155" s="57"/>
      <c r="E155" s="235"/>
      <c r="F155" s="236"/>
      <c r="G155" s="51"/>
    </row>
    <row r="156" spans="1:7" s="52" customFormat="1" ht="15" thickBot="1" x14ac:dyDescent="0.35">
      <c r="A156" s="111" t="s">
        <v>29</v>
      </c>
      <c r="B156" s="84">
        <f>SUM(B148:B155)</f>
        <v>27</v>
      </c>
      <c r="C156" s="111" t="str">
        <f xml:space="preserve"> setValueToTime(B156)</f>
        <v>2h15min</v>
      </c>
      <c r="D156" s="120"/>
      <c r="E156" s="237"/>
      <c r="F156" s="238"/>
      <c r="G156" s="51"/>
    </row>
    <row r="157" spans="1:7" s="59" customFormat="1" ht="15" thickBot="1" x14ac:dyDescent="0.35">
      <c r="A157" s="79"/>
      <c r="B157" s="79"/>
      <c r="C157" s="79"/>
      <c r="D157" s="79"/>
      <c r="E157" s="79"/>
      <c r="F157" s="79"/>
      <c r="G157" s="58"/>
    </row>
    <row r="158" spans="1:7" s="47" customFormat="1" ht="30" customHeight="1" thickBot="1" x14ac:dyDescent="0.3">
      <c r="A158" s="81" t="s">
        <v>12</v>
      </c>
      <c r="B158" s="163">
        <v>1</v>
      </c>
      <c r="C158" s="163"/>
      <c r="D158" s="82" t="s">
        <v>15</v>
      </c>
      <c r="E158" s="94">
        <v>44711</v>
      </c>
      <c r="F158" s="126"/>
      <c r="G158" s="46"/>
    </row>
    <row r="159" spans="1:7" s="47" customFormat="1" ht="30" customHeight="1" thickBot="1" x14ac:dyDescent="0.3">
      <c r="A159" s="80" t="s">
        <v>5</v>
      </c>
      <c r="B159" s="150" t="s">
        <v>42</v>
      </c>
      <c r="C159" s="151"/>
      <c r="D159" s="80" t="s">
        <v>13</v>
      </c>
      <c r="E159" s="239" t="s">
        <v>14</v>
      </c>
      <c r="F159" s="240"/>
      <c r="G159" s="46"/>
    </row>
    <row r="160" spans="1:7" s="52" customFormat="1" x14ac:dyDescent="0.3">
      <c r="A160" s="48" t="s">
        <v>4</v>
      </c>
      <c r="B160" s="49">
        <v>18</v>
      </c>
      <c r="C160" s="152" t="str">
        <f xml:space="preserve"> IF(B160="","",setValueToTime(B160))</f>
        <v>1h30min</v>
      </c>
      <c r="D160" s="166" t="s">
        <v>65</v>
      </c>
      <c r="E160" s="241"/>
      <c r="F160" s="242"/>
      <c r="G160" s="51"/>
    </row>
    <row r="161" spans="1:7" s="52" customFormat="1" x14ac:dyDescent="0.3">
      <c r="A161" s="53" t="s">
        <v>33</v>
      </c>
      <c r="B161" s="54">
        <v>18</v>
      </c>
      <c r="C161" s="153" t="str">
        <f t="shared" ref="C161:C167" si="13" xml:space="preserve"> IF(B161="","",setValueToTime(B161))</f>
        <v>1h30min</v>
      </c>
      <c r="D161" s="167" t="s">
        <v>51</v>
      </c>
      <c r="E161" s="233"/>
      <c r="F161" s="234"/>
      <c r="G161" s="51"/>
    </row>
    <row r="162" spans="1:7" s="52" customFormat="1" x14ac:dyDescent="0.3">
      <c r="A162" s="53"/>
      <c r="B162" s="54"/>
      <c r="C162" s="153" t="str">
        <f t="shared" si="13"/>
        <v/>
      </c>
      <c r="D162" s="55"/>
      <c r="E162" s="233"/>
      <c r="F162" s="234"/>
      <c r="G162" s="51"/>
    </row>
    <row r="163" spans="1:7" s="52" customFormat="1" x14ac:dyDescent="0.3">
      <c r="A163" s="53"/>
      <c r="B163" s="54"/>
      <c r="C163" s="153" t="str">
        <f t="shared" si="13"/>
        <v/>
      </c>
      <c r="D163" s="55"/>
      <c r="E163" s="233"/>
      <c r="F163" s="234"/>
      <c r="G163" s="51"/>
    </row>
    <row r="164" spans="1:7" s="52" customFormat="1" x14ac:dyDescent="0.3">
      <c r="A164" s="54"/>
      <c r="B164" s="54"/>
      <c r="C164" s="154" t="str">
        <f t="shared" si="13"/>
        <v/>
      </c>
      <c r="D164" s="55"/>
      <c r="E164" s="233"/>
      <c r="F164" s="234"/>
      <c r="G164" s="51"/>
    </row>
    <row r="165" spans="1:7" s="52" customFormat="1" x14ac:dyDescent="0.3">
      <c r="A165" s="54"/>
      <c r="B165" s="54"/>
      <c r="C165" s="154" t="str">
        <f t="shared" si="13"/>
        <v/>
      </c>
      <c r="D165" s="55"/>
      <c r="E165" s="233"/>
      <c r="F165" s="234"/>
      <c r="G165" s="51"/>
    </row>
    <row r="166" spans="1:7" s="52" customFormat="1" x14ac:dyDescent="0.3">
      <c r="A166" s="54"/>
      <c r="B166" s="54"/>
      <c r="C166" s="154" t="str">
        <f t="shared" si="13"/>
        <v/>
      </c>
      <c r="D166" s="55"/>
      <c r="E166" s="233"/>
      <c r="F166" s="234"/>
      <c r="G166" s="51"/>
    </row>
    <row r="167" spans="1:7" s="52" customFormat="1" ht="15" thickBot="1" x14ac:dyDescent="0.35">
      <c r="A167" s="56"/>
      <c r="B167" s="56"/>
      <c r="C167" s="155" t="str">
        <f t="shared" si="13"/>
        <v/>
      </c>
      <c r="D167" s="57"/>
      <c r="E167" s="235"/>
      <c r="F167" s="236"/>
      <c r="G167" s="51"/>
    </row>
    <row r="168" spans="1:7" s="52" customFormat="1" ht="15" thickBot="1" x14ac:dyDescent="0.35">
      <c r="A168" s="111" t="s">
        <v>29</v>
      </c>
      <c r="B168" s="84">
        <f>SUM(B160:B167)</f>
        <v>36</v>
      </c>
      <c r="C168" s="111" t="str">
        <f xml:space="preserve"> setValueToTime(B168)</f>
        <v>3h</v>
      </c>
      <c r="D168" s="120"/>
      <c r="E168" s="237"/>
      <c r="F168" s="238"/>
      <c r="G168" s="51"/>
    </row>
    <row r="169" spans="1:7" s="59" customFormat="1" x14ac:dyDescent="0.3">
      <c r="A169" s="79"/>
      <c r="B169" s="79"/>
      <c r="C169" s="79"/>
      <c r="D169" s="79"/>
      <c r="E169" s="79"/>
      <c r="F169" s="79"/>
      <c r="G169" s="58"/>
    </row>
  </sheetData>
  <sheetProtection formatRows="0" insertRows="0" insertHyperlinks="0" deleteRows="0" selectLockedCells="1"/>
  <mergeCells count="140">
    <mergeCell ref="E24:F24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12:F12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165:F165"/>
    <mergeCell ref="E166:F166"/>
    <mergeCell ref="E167:F167"/>
    <mergeCell ref="E168:F168"/>
    <mergeCell ref="E147:F147"/>
    <mergeCell ref="E148:F148"/>
    <mergeCell ref="E149:F149"/>
    <mergeCell ref="E150:F150"/>
    <mergeCell ref="E151:F151"/>
    <mergeCell ref="E152:F152"/>
    <mergeCell ref="E159:F159"/>
    <mergeCell ref="E160:F160"/>
    <mergeCell ref="E161:F161"/>
    <mergeCell ref="E162:F162"/>
    <mergeCell ref="E163:F163"/>
    <mergeCell ref="E164:F164"/>
    <mergeCell ref="E153:F153"/>
    <mergeCell ref="E154:F154"/>
    <mergeCell ref="E155:F155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28:F128"/>
    <mergeCell ref="E129:F129"/>
    <mergeCell ref="E130:F130"/>
    <mergeCell ref="E131:F131"/>
    <mergeCell ref="E132:F132"/>
    <mergeCell ref="E123:F123"/>
    <mergeCell ref="E124:F124"/>
    <mergeCell ref="E125:F125"/>
    <mergeCell ref="E126:F126"/>
    <mergeCell ref="E127:F127"/>
    <mergeCell ref="E117:F117"/>
    <mergeCell ref="E118:F118"/>
    <mergeCell ref="E119:F119"/>
    <mergeCell ref="E120:F120"/>
    <mergeCell ref="E111:F111"/>
    <mergeCell ref="E112:F112"/>
    <mergeCell ref="E113:F113"/>
    <mergeCell ref="E114:F114"/>
    <mergeCell ref="E115:F115"/>
    <mergeCell ref="E100:F100"/>
    <mergeCell ref="E101:F101"/>
    <mergeCell ref="E102:F102"/>
    <mergeCell ref="E103:F103"/>
    <mergeCell ref="E116:F116"/>
    <mergeCell ref="E104:F104"/>
    <mergeCell ref="E106:F106"/>
    <mergeCell ref="E107:F107"/>
    <mergeCell ref="E108:F108"/>
    <mergeCell ref="E105:F105"/>
    <mergeCell ref="E99:F99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92:F92"/>
    <mergeCell ref="E93:F93"/>
    <mergeCell ref="E94:F94"/>
    <mergeCell ref="E95:F95"/>
    <mergeCell ref="E96:F96"/>
    <mergeCell ref="E87:F87"/>
    <mergeCell ref="E88:F88"/>
    <mergeCell ref="E89:F89"/>
    <mergeCell ref="E90:F90"/>
    <mergeCell ref="E91:F91"/>
    <mergeCell ref="E44:F44"/>
    <mergeCell ref="E45:F45"/>
    <mergeCell ref="E46:F46"/>
    <mergeCell ref="E47:F47"/>
    <mergeCell ref="E48:F48"/>
    <mergeCell ref="E39:F39"/>
    <mergeCell ref="E40:F40"/>
    <mergeCell ref="E41:F41"/>
    <mergeCell ref="E42:F42"/>
    <mergeCell ref="E43:F43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</mergeCells>
  <phoneticPr fontId="0" type="noConversion"/>
  <conditionalFormatting sqref="B168">
    <cfRule type="cellIs" dxfId="29" priority="14" operator="greaterThan">
      <formula>60</formula>
    </cfRule>
  </conditionalFormatting>
  <conditionalFormatting sqref="B156">
    <cfRule type="cellIs" dxfId="28" priority="13" operator="greaterThan">
      <formula>60</formula>
    </cfRule>
  </conditionalFormatting>
  <conditionalFormatting sqref="B144">
    <cfRule type="cellIs" dxfId="27" priority="12" operator="greaterThan">
      <formula>60</formula>
    </cfRule>
  </conditionalFormatting>
  <conditionalFormatting sqref="B132">
    <cfRule type="cellIs" dxfId="26" priority="11" operator="greaterThan">
      <formula>60</formula>
    </cfRule>
  </conditionalFormatting>
  <conditionalFormatting sqref="B120">
    <cfRule type="cellIs" dxfId="25" priority="10" operator="greaterThan">
      <formula>60</formula>
    </cfRule>
  </conditionalFormatting>
  <conditionalFormatting sqref="B108">
    <cfRule type="cellIs" dxfId="24" priority="9" operator="greaterThan">
      <formula>60</formula>
    </cfRule>
  </conditionalFormatting>
  <conditionalFormatting sqref="B96">
    <cfRule type="cellIs" dxfId="23" priority="8" operator="greaterThan">
      <formula>60</formula>
    </cfRule>
  </conditionalFormatting>
  <conditionalFormatting sqref="B84">
    <cfRule type="cellIs" dxfId="22" priority="7" operator="greaterThan">
      <formula>60</formula>
    </cfRule>
  </conditionalFormatting>
  <conditionalFormatting sqref="B72">
    <cfRule type="cellIs" dxfId="21" priority="6" operator="greaterThan">
      <formula>60</formula>
    </cfRule>
  </conditionalFormatting>
  <conditionalFormatting sqref="B60">
    <cfRule type="cellIs" dxfId="20" priority="5" operator="greaterThan">
      <formula>60</formula>
    </cfRule>
  </conditionalFormatting>
  <conditionalFormatting sqref="B48">
    <cfRule type="cellIs" dxfId="19" priority="4" operator="greaterThan">
      <formula>60</formula>
    </cfRule>
  </conditionalFormatting>
  <conditionalFormatting sqref="B36">
    <cfRule type="cellIs" dxfId="18" priority="3" operator="greaterThan">
      <formula>60</formula>
    </cfRule>
  </conditionalFormatting>
  <conditionalFormatting sqref="B24">
    <cfRule type="cellIs" dxfId="17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68 B156 B144 B132 B120 B108 B96 B84 B72 B60 B48 B36 B24 B12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160:B167 B148:B155 B136:B143 B124:B131 B112:B119 B100:B107 B88:B95 B76:B83 B64:B71 B52:B59 B40:B47 B28:B35 B16:B23 B4:B11">
      <formula1>0</formula1>
    </dataValidation>
    <dataValidation type="list" allowBlank="1" showInputMessage="1" showErrorMessage="1" sqref="A160:A167 A148:A155 A136:A143 A124:A131 A112:A119 A100:A107 A88:A95 A76:A83 A64:A71 A52:A59 A40:A47 A28:A35 A16:A23 A4:A11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169"/>
  <sheetViews>
    <sheetView showGridLines="0" zoomScaleNormal="100" zoomScaleSheetLayoutView="98" workbookViewId="0">
      <pane ySplit="1" topLeftCell="A2" activePane="bottomLeft" state="frozen"/>
      <selection pane="bottomLeft" activeCell="A4" sqref="A4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12</v>
      </c>
      <c r="B2" s="164">
        <v>14</v>
      </c>
      <c r="C2" s="164"/>
      <c r="D2" s="157" t="s">
        <v>15</v>
      </c>
      <c r="E2" s="158">
        <v>44725</v>
      </c>
      <c r="F2" s="159"/>
      <c r="G2" s="46"/>
    </row>
    <row r="3" spans="1:7" s="47" customFormat="1" ht="30" customHeight="1" thickBot="1" x14ac:dyDescent="0.3">
      <c r="A3" s="78" t="s">
        <v>5</v>
      </c>
      <c r="B3" s="161" t="s">
        <v>42</v>
      </c>
      <c r="C3" s="160"/>
      <c r="D3" s="78" t="s">
        <v>13</v>
      </c>
      <c r="E3" s="245" t="s">
        <v>14</v>
      </c>
      <c r="F3" s="246"/>
      <c r="G3" s="46"/>
    </row>
    <row r="4" spans="1:7" s="52" customFormat="1" x14ac:dyDescent="0.3">
      <c r="A4" s="48"/>
      <c r="B4" s="49"/>
      <c r="C4" s="152" t="str">
        <f xml:space="preserve"> IF(B4="","",setValueToTime(B4))</f>
        <v/>
      </c>
      <c r="D4" s="50"/>
      <c r="E4" s="241"/>
      <c r="F4" s="242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33"/>
      <c r="F5" s="234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33"/>
      <c r="F6" s="234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33"/>
      <c r="F7" s="234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33"/>
      <c r="F8" s="234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33"/>
      <c r="F9" s="234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33"/>
      <c r="F10" s="234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35"/>
      <c r="F11" s="236"/>
      <c r="G11" s="51"/>
    </row>
    <row r="12" spans="1:7" s="52" customFormat="1" ht="15" thickBot="1" x14ac:dyDescent="0.35">
      <c r="A12" s="162" t="s">
        <v>29</v>
      </c>
      <c r="B12" s="83">
        <f>SUM(B4:B11)</f>
        <v>0</v>
      </c>
      <c r="C12" s="162" t="str">
        <f xml:space="preserve"> setValueToTime(B12)</f>
        <v>0h</v>
      </c>
      <c r="D12" s="121"/>
      <c r="E12" s="243"/>
      <c r="F12" s="244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12</v>
      </c>
      <c r="B14" s="164">
        <v>13</v>
      </c>
      <c r="C14" s="164"/>
      <c r="D14" s="157" t="s">
        <v>15</v>
      </c>
      <c r="E14" s="158">
        <v>44725</v>
      </c>
      <c r="F14" s="159"/>
      <c r="G14" s="46"/>
    </row>
    <row r="15" spans="1:7" s="47" customFormat="1" ht="30" customHeight="1" thickBot="1" x14ac:dyDescent="0.3">
      <c r="A15" s="78" t="s">
        <v>5</v>
      </c>
      <c r="B15" s="161" t="s">
        <v>42</v>
      </c>
      <c r="C15" s="160"/>
      <c r="D15" s="78" t="s">
        <v>13</v>
      </c>
      <c r="E15" s="245" t="s">
        <v>14</v>
      </c>
      <c r="F15" s="246"/>
      <c r="G15" s="46"/>
    </row>
    <row r="16" spans="1:7" s="52" customFormat="1" x14ac:dyDescent="0.3">
      <c r="A16" s="48"/>
      <c r="B16" s="49"/>
      <c r="C16" s="152" t="str">
        <f xml:space="preserve"> IF(B16="","",setValueToTime(B16))</f>
        <v/>
      </c>
      <c r="D16" s="50"/>
      <c r="E16" s="241"/>
      <c r="F16" s="242"/>
      <c r="G16" s="51"/>
    </row>
    <row r="17" spans="1:7" s="52" customFormat="1" x14ac:dyDescent="0.3">
      <c r="A17" s="53"/>
      <c r="B17" s="54"/>
      <c r="C17" s="153" t="str">
        <f t="shared" ref="C17:C23" si="1" xml:space="preserve"> IF(B17="","",setValueToTime(B17))</f>
        <v/>
      </c>
      <c r="D17" s="55"/>
      <c r="E17" s="233"/>
      <c r="F17" s="234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33"/>
      <c r="F18" s="234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33"/>
      <c r="F19" s="234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33"/>
      <c r="F20" s="234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33"/>
      <c r="F21" s="234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33"/>
      <c r="F22" s="234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35"/>
      <c r="F23" s="236"/>
      <c r="G23" s="51"/>
    </row>
    <row r="24" spans="1:7" s="52" customFormat="1" ht="15" thickBot="1" x14ac:dyDescent="0.35">
      <c r="A24" s="162" t="s">
        <v>29</v>
      </c>
      <c r="B24" s="83">
        <f>SUM(B16:B23)</f>
        <v>0</v>
      </c>
      <c r="C24" s="162" t="str">
        <f xml:space="preserve"> setValueToTime(B24)</f>
        <v>0h</v>
      </c>
      <c r="D24" s="121"/>
      <c r="E24" s="243"/>
      <c r="F24" s="244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12</v>
      </c>
      <c r="B26" s="164">
        <v>12</v>
      </c>
      <c r="C26" s="164"/>
      <c r="D26" s="157" t="s">
        <v>15</v>
      </c>
      <c r="E26" s="158" t="s">
        <v>98</v>
      </c>
      <c r="F26" s="159"/>
      <c r="G26" s="46"/>
    </row>
    <row r="27" spans="1:7" s="47" customFormat="1" ht="30" customHeight="1" thickBot="1" x14ac:dyDescent="0.3">
      <c r="A27" s="78" t="s">
        <v>5</v>
      </c>
      <c r="B27" s="161" t="s">
        <v>42</v>
      </c>
      <c r="C27" s="160"/>
      <c r="D27" s="78" t="s">
        <v>13</v>
      </c>
      <c r="E27" s="245" t="s">
        <v>14</v>
      </c>
      <c r="F27" s="246"/>
      <c r="G27" s="46"/>
    </row>
    <row r="28" spans="1:7" s="52" customFormat="1" ht="27" x14ac:dyDescent="0.3">
      <c r="A28" s="48" t="s">
        <v>93</v>
      </c>
      <c r="B28" s="49">
        <v>36</v>
      </c>
      <c r="C28" s="152" t="str">
        <f xml:space="preserve"> IF(B28="","",setValueToTime(B28))</f>
        <v>3h</v>
      </c>
      <c r="D28" s="166" t="s">
        <v>106</v>
      </c>
      <c r="E28" s="241"/>
      <c r="F28" s="242"/>
      <c r="G28" s="51"/>
    </row>
    <row r="29" spans="1:7" s="52" customFormat="1" x14ac:dyDescent="0.3">
      <c r="A29" s="53"/>
      <c r="B29" s="54"/>
      <c r="C29" s="153" t="str">
        <f t="shared" ref="C29:C35" si="2" xml:space="preserve"> IF(B29="","",setValueToTime(B29))</f>
        <v/>
      </c>
      <c r="D29" s="55"/>
      <c r="E29" s="233"/>
      <c r="F29" s="234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233"/>
      <c r="F30" s="234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33"/>
      <c r="F31" s="234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33"/>
      <c r="F32" s="234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33"/>
      <c r="F33" s="234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33"/>
      <c r="F34" s="234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35"/>
      <c r="F35" s="236"/>
      <c r="G35" s="51"/>
    </row>
    <row r="36" spans="1:7" s="52" customFormat="1" ht="15" thickBot="1" x14ac:dyDescent="0.35">
      <c r="A36" s="162" t="s">
        <v>29</v>
      </c>
      <c r="B36" s="83">
        <f>SUM(B28:B35)</f>
        <v>36</v>
      </c>
      <c r="C36" s="162" t="str">
        <f xml:space="preserve"> setValueToTime(B36)</f>
        <v>3h</v>
      </c>
      <c r="D36" s="121"/>
      <c r="E36" s="243"/>
      <c r="F36" s="244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6" t="s">
        <v>12</v>
      </c>
      <c r="B38" s="164">
        <v>11</v>
      </c>
      <c r="C38" s="164"/>
      <c r="D38" s="157" t="s">
        <v>15</v>
      </c>
      <c r="E38" s="158" t="s">
        <v>98</v>
      </c>
      <c r="F38" s="159"/>
      <c r="G38" s="46"/>
    </row>
    <row r="39" spans="1:7" s="47" customFormat="1" ht="30" customHeight="1" thickBot="1" x14ac:dyDescent="0.3">
      <c r="A39" s="78" t="s">
        <v>5</v>
      </c>
      <c r="B39" s="161" t="s">
        <v>42</v>
      </c>
      <c r="C39" s="160"/>
      <c r="D39" s="78" t="s">
        <v>13</v>
      </c>
      <c r="E39" s="245" t="s">
        <v>14</v>
      </c>
      <c r="F39" s="246"/>
      <c r="G39" s="46"/>
    </row>
    <row r="40" spans="1:7" s="52" customFormat="1" ht="27" x14ac:dyDescent="0.3">
      <c r="A40" s="48" t="s">
        <v>93</v>
      </c>
      <c r="B40" s="49">
        <v>36</v>
      </c>
      <c r="C40" s="152" t="str">
        <f xml:space="preserve"> IF(B40="","",setValueToTime(B40))</f>
        <v>3h</v>
      </c>
      <c r="D40" s="166" t="s">
        <v>105</v>
      </c>
      <c r="E40" s="241"/>
      <c r="F40" s="242"/>
      <c r="G40" s="51"/>
    </row>
    <row r="41" spans="1:7" s="52" customFormat="1" x14ac:dyDescent="0.3">
      <c r="A41" s="53"/>
      <c r="B41" s="54"/>
      <c r="C41" s="153" t="str">
        <f t="shared" ref="C41:C47" si="3" xml:space="preserve"> IF(B41="","",setValueToTime(B41))</f>
        <v/>
      </c>
      <c r="D41" s="55"/>
      <c r="E41" s="233"/>
      <c r="F41" s="234"/>
      <c r="G41" s="51"/>
    </row>
    <row r="42" spans="1:7" s="52" customFormat="1" x14ac:dyDescent="0.3">
      <c r="A42" s="53"/>
      <c r="B42" s="54"/>
      <c r="C42" s="153" t="str">
        <f t="shared" si="3"/>
        <v/>
      </c>
      <c r="D42" s="55"/>
      <c r="E42" s="233"/>
      <c r="F42" s="234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33"/>
      <c r="F43" s="234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33"/>
      <c r="F44" s="234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33"/>
      <c r="F45" s="234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33"/>
      <c r="F46" s="234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35"/>
      <c r="F47" s="236"/>
      <c r="G47" s="51"/>
    </row>
    <row r="48" spans="1:7" s="52" customFormat="1" ht="15" thickBot="1" x14ac:dyDescent="0.35">
      <c r="A48" s="162" t="s">
        <v>29</v>
      </c>
      <c r="B48" s="83">
        <f>SUM(B40:B47)</f>
        <v>36</v>
      </c>
      <c r="C48" s="162" t="str">
        <f xml:space="preserve"> setValueToTime(B48)</f>
        <v>3h</v>
      </c>
      <c r="D48" s="121"/>
      <c r="E48" s="243"/>
      <c r="F48" s="244"/>
      <c r="G48" s="51"/>
    </row>
    <row r="49" spans="1:7" s="59" customFormat="1" ht="15" thickBot="1" x14ac:dyDescent="0.35">
      <c r="A49" s="77"/>
      <c r="B49" s="77"/>
      <c r="C49" s="77"/>
      <c r="D49" s="77"/>
      <c r="E49" s="77"/>
      <c r="F49" s="77"/>
      <c r="G49" s="58"/>
    </row>
    <row r="50" spans="1:7" s="47" customFormat="1" ht="30" customHeight="1" thickBot="1" x14ac:dyDescent="0.3">
      <c r="A50" s="156" t="s">
        <v>12</v>
      </c>
      <c r="B50" s="164">
        <v>10</v>
      </c>
      <c r="C50" s="164"/>
      <c r="D50" s="157" t="s">
        <v>15</v>
      </c>
      <c r="E50" s="158" t="s">
        <v>83</v>
      </c>
      <c r="F50" s="159"/>
      <c r="G50" s="46"/>
    </row>
    <row r="51" spans="1:7" s="47" customFormat="1" ht="30" customHeight="1" thickBot="1" x14ac:dyDescent="0.3">
      <c r="A51" s="78" t="s">
        <v>5</v>
      </c>
      <c r="B51" s="161" t="s">
        <v>42</v>
      </c>
      <c r="C51" s="160"/>
      <c r="D51" s="78" t="s">
        <v>13</v>
      </c>
      <c r="E51" s="245" t="s">
        <v>14</v>
      </c>
      <c r="F51" s="246"/>
      <c r="G51" s="46"/>
    </row>
    <row r="52" spans="1:7" s="52" customFormat="1" ht="27" x14ac:dyDescent="0.3">
      <c r="A52" s="48" t="s">
        <v>86</v>
      </c>
      <c r="B52" s="49">
        <v>18</v>
      </c>
      <c r="C52" s="152" t="str">
        <f xml:space="preserve"> IF(B52="","",setValueToTime(B52))</f>
        <v>1h30min</v>
      </c>
      <c r="D52" s="166" t="s">
        <v>94</v>
      </c>
      <c r="E52" s="241"/>
      <c r="F52" s="242"/>
      <c r="G52" s="51"/>
    </row>
    <row r="53" spans="1:7" s="52" customFormat="1" ht="27" x14ac:dyDescent="0.3">
      <c r="A53" s="53" t="s">
        <v>93</v>
      </c>
      <c r="B53" s="54">
        <v>18</v>
      </c>
      <c r="C53" s="153" t="str">
        <f t="shared" ref="C53:C59" si="4" xml:space="preserve"> IF(B53="","",setValueToTime(B53))</f>
        <v>1h30min</v>
      </c>
      <c r="D53" s="167" t="s">
        <v>95</v>
      </c>
      <c r="E53" s="233"/>
      <c r="F53" s="234"/>
      <c r="G53" s="51"/>
    </row>
    <row r="54" spans="1:7" s="52" customFormat="1" x14ac:dyDescent="0.3">
      <c r="A54" s="53"/>
      <c r="B54" s="54"/>
      <c r="C54" s="153" t="str">
        <f t="shared" si="4"/>
        <v/>
      </c>
      <c r="D54" s="55"/>
      <c r="E54" s="233"/>
      <c r="F54" s="234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33"/>
      <c r="F55" s="234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33"/>
      <c r="F56" s="234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33"/>
      <c r="F57" s="234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33"/>
      <c r="F58" s="234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35"/>
      <c r="F59" s="236"/>
      <c r="G59" s="51"/>
    </row>
    <row r="60" spans="1:7" s="52" customFormat="1" ht="15" thickBot="1" x14ac:dyDescent="0.35">
      <c r="A60" s="162" t="s">
        <v>29</v>
      </c>
      <c r="B60" s="83">
        <f>SUM(B52:B59)</f>
        <v>36</v>
      </c>
      <c r="C60" s="162" t="str">
        <f xml:space="preserve"> setValueToTime(B60)</f>
        <v>3h</v>
      </c>
      <c r="D60" s="121"/>
      <c r="E60" s="243"/>
      <c r="F60" s="244"/>
      <c r="G60" s="51"/>
    </row>
    <row r="61" spans="1:7" s="59" customFormat="1" ht="15" thickBot="1" x14ac:dyDescent="0.35">
      <c r="A61" s="77"/>
      <c r="B61" s="77"/>
      <c r="C61" s="77"/>
      <c r="D61" s="77"/>
      <c r="E61" s="77"/>
      <c r="F61" s="77"/>
      <c r="G61" s="58"/>
    </row>
    <row r="62" spans="1:7" s="47" customFormat="1" ht="30" customHeight="1" thickBot="1" x14ac:dyDescent="0.3">
      <c r="A62" s="156" t="s">
        <v>12</v>
      </c>
      <c r="B62" s="164">
        <v>9</v>
      </c>
      <c r="C62" s="164"/>
      <c r="D62" s="157" t="s">
        <v>15</v>
      </c>
      <c r="E62" s="158" t="s">
        <v>83</v>
      </c>
      <c r="F62" s="159"/>
      <c r="G62" s="46"/>
    </row>
    <row r="63" spans="1:7" s="47" customFormat="1" ht="30" customHeight="1" thickBot="1" x14ac:dyDescent="0.3">
      <c r="A63" s="78" t="s">
        <v>5</v>
      </c>
      <c r="B63" s="161" t="s">
        <v>42</v>
      </c>
      <c r="C63" s="160"/>
      <c r="D63" s="78" t="s">
        <v>13</v>
      </c>
      <c r="E63" s="245" t="s">
        <v>14</v>
      </c>
      <c r="F63" s="246"/>
      <c r="G63" s="46"/>
    </row>
    <row r="64" spans="1:7" s="52" customFormat="1" ht="27" x14ac:dyDescent="0.3">
      <c r="A64" s="48" t="s">
        <v>86</v>
      </c>
      <c r="B64" s="49">
        <v>45</v>
      </c>
      <c r="C64" s="152" t="str">
        <f xml:space="preserve"> IF(B64="","",setValueToTime(B64))</f>
        <v>3h45min</v>
      </c>
      <c r="D64" s="166" t="s">
        <v>92</v>
      </c>
      <c r="E64" s="241"/>
      <c r="F64" s="242"/>
      <c r="G64" s="51"/>
    </row>
    <row r="65" spans="1:7" s="52" customFormat="1" x14ac:dyDescent="0.3">
      <c r="A65" s="53"/>
      <c r="B65" s="54"/>
      <c r="C65" s="153" t="str">
        <f t="shared" ref="C65:C71" si="5" xml:space="preserve"> IF(B65="","",setValueToTime(B65))</f>
        <v/>
      </c>
      <c r="D65" s="55"/>
      <c r="E65" s="233"/>
      <c r="F65" s="234"/>
      <c r="G65" s="51"/>
    </row>
    <row r="66" spans="1:7" s="52" customFormat="1" x14ac:dyDescent="0.3">
      <c r="A66" s="53"/>
      <c r="B66" s="54"/>
      <c r="C66" s="153" t="str">
        <f t="shared" si="5"/>
        <v/>
      </c>
      <c r="D66" s="55"/>
      <c r="E66" s="233"/>
      <c r="F66" s="234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33"/>
      <c r="F67" s="234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33"/>
      <c r="F68" s="234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33"/>
      <c r="F69" s="234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33"/>
      <c r="F70" s="234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35"/>
      <c r="F71" s="236"/>
      <c r="G71" s="51"/>
    </row>
    <row r="72" spans="1:7" s="52" customFormat="1" ht="15" thickBot="1" x14ac:dyDescent="0.35">
      <c r="A72" s="162" t="s">
        <v>29</v>
      </c>
      <c r="B72" s="83">
        <f>SUM(B64:B71)</f>
        <v>45</v>
      </c>
      <c r="C72" s="162" t="str">
        <f xml:space="preserve"> setValueToTime(B72)</f>
        <v>3h45min</v>
      </c>
      <c r="D72" s="121"/>
      <c r="E72" s="243"/>
      <c r="F72" s="244"/>
      <c r="G72" s="51"/>
    </row>
    <row r="73" spans="1:7" s="59" customFormat="1" ht="15" thickBot="1" x14ac:dyDescent="0.35">
      <c r="A73" s="77"/>
      <c r="B73" s="77"/>
      <c r="C73" s="77"/>
      <c r="D73" s="77"/>
      <c r="E73" s="77"/>
      <c r="F73" s="77"/>
      <c r="G73" s="58"/>
    </row>
    <row r="74" spans="1:7" s="47" customFormat="1" ht="30" customHeight="1" thickBot="1" x14ac:dyDescent="0.3">
      <c r="A74" s="156" t="s">
        <v>12</v>
      </c>
      <c r="B74" s="164">
        <v>8</v>
      </c>
      <c r="C74" s="164"/>
      <c r="D74" s="157" t="s">
        <v>15</v>
      </c>
      <c r="E74" s="158" t="s">
        <v>81</v>
      </c>
      <c r="F74" s="159"/>
      <c r="G74" s="46"/>
    </row>
    <row r="75" spans="1:7" s="47" customFormat="1" ht="30" customHeight="1" thickBot="1" x14ac:dyDescent="0.3">
      <c r="A75" s="78" t="s">
        <v>5</v>
      </c>
      <c r="B75" s="161" t="s">
        <v>42</v>
      </c>
      <c r="C75" s="160"/>
      <c r="D75" s="78" t="s">
        <v>13</v>
      </c>
      <c r="E75" s="245" t="s">
        <v>14</v>
      </c>
      <c r="F75" s="246"/>
      <c r="G75" s="46"/>
    </row>
    <row r="76" spans="1:7" s="52" customFormat="1" ht="27" x14ac:dyDescent="0.3">
      <c r="A76" s="48" t="s">
        <v>48</v>
      </c>
      <c r="B76" s="49">
        <v>30</v>
      </c>
      <c r="C76" s="152" t="str">
        <f xml:space="preserve"> IF(B76="","",setValueToTime(B76))</f>
        <v>2h30min</v>
      </c>
      <c r="D76" s="166" t="s">
        <v>84</v>
      </c>
      <c r="E76" s="241"/>
      <c r="F76" s="242"/>
      <c r="G76" s="51"/>
    </row>
    <row r="77" spans="1:7" s="52" customFormat="1" ht="27" x14ac:dyDescent="0.3">
      <c r="A77" s="53" t="s">
        <v>86</v>
      </c>
      <c r="B77" s="54">
        <v>6</v>
      </c>
      <c r="C77" s="153" t="str">
        <f t="shared" ref="C77:C83" si="6" xml:space="preserve"> IF(B77="","",setValueToTime(B77))</f>
        <v>0h30min</v>
      </c>
      <c r="D77" s="167" t="s">
        <v>85</v>
      </c>
      <c r="E77" s="233"/>
      <c r="F77" s="234"/>
      <c r="G77" s="51"/>
    </row>
    <row r="78" spans="1:7" s="52" customFormat="1" x14ac:dyDescent="0.3">
      <c r="A78" s="53"/>
      <c r="B78" s="54"/>
      <c r="C78" s="153" t="str">
        <f t="shared" si="6"/>
        <v/>
      </c>
      <c r="D78" s="55"/>
      <c r="E78" s="233"/>
      <c r="F78" s="234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33"/>
      <c r="F79" s="234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33"/>
      <c r="F80" s="234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33"/>
      <c r="F81" s="234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33"/>
      <c r="F82" s="234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35"/>
      <c r="F83" s="236"/>
      <c r="G83" s="51"/>
    </row>
    <row r="84" spans="1:7" s="52" customFormat="1" ht="15" thickBot="1" x14ac:dyDescent="0.35">
      <c r="A84" s="162" t="s">
        <v>29</v>
      </c>
      <c r="B84" s="83">
        <f>SUM(B76:B83)</f>
        <v>36</v>
      </c>
      <c r="C84" s="162" t="str">
        <f xml:space="preserve"> setValueToTime(B84)</f>
        <v>3h</v>
      </c>
      <c r="D84" s="121"/>
      <c r="E84" s="243"/>
      <c r="F84" s="244"/>
      <c r="G84" s="51"/>
    </row>
    <row r="85" spans="1:7" s="59" customFormat="1" ht="15" thickBot="1" x14ac:dyDescent="0.35">
      <c r="A85" s="77"/>
      <c r="B85" s="77"/>
      <c r="C85" s="77"/>
      <c r="D85" s="77"/>
      <c r="E85" s="77"/>
      <c r="F85" s="77"/>
      <c r="G85" s="58"/>
    </row>
    <row r="86" spans="1:7" s="47" customFormat="1" ht="30" customHeight="1" thickBot="1" x14ac:dyDescent="0.3">
      <c r="A86" s="156" t="s">
        <v>12</v>
      </c>
      <c r="B86" s="164">
        <v>7</v>
      </c>
      <c r="C86" s="164"/>
      <c r="D86" s="157" t="s">
        <v>15</v>
      </c>
      <c r="E86" s="158" t="s">
        <v>64</v>
      </c>
      <c r="F86" s="159"/>
      <c r="G86" s="46"/>
    </row>
    <row r="87" spans="1:7" s="47" customFormat="1" ht="30" customHeight="1" thickBot="1" x14ac:dyDescent="0.3">
      <c r="A87" s="78" t="s">
        <v>5</v>
      </c>
      <c r="B87" s="161" t="s">
        <v>42</v>
      </c>
      <c r="C87" s="160"/>
      <c r="D87" s="78" t="s">
        <v>13</v>
      </c>
      <c r="E87" s="245" t="s">
        <v>14</v>
      </c>
      <c r="F87" s="246"/>
      <c r="G87" s="46"/>
    </row>
    <row r="88" spans="1:7" s="52" customFormat="1" ht="40.5" x14ac:dyDescent="0.3">
      <c r="A88" s="48" t="s">
        <v>49</v>
      </c>
      <c r="B88" s="49">
        <v>36</v>
      </c>
      <c r="C88" s="152" t="str">
        <f xml:space="preserve"> IF(B88="","",setValueToTime(B88))</f>
        <v>3h</v>
      </c>
      <c r="D88" s="166" t="s">
        <v>80</v>
      </c>
      <c r="E88" s="241"/>
      <c r="F88" s="242"/>
      <c r="G88" s="51"/>
    </row>
    <row r="89" spans="1:7" s="52" customFormat="1" x14ac:dyDescent="0.3">
      <c r="A89" s="53"/>
      <c r="B89" s="54"/>
      <c r="C89" s="153" t="str">
        <f t="shared" ref="C89:C95" si="7" xml:space="preserve"> IF(B89="","",setValueToTime(B89))</f>
        <v/>
      </c>
      <c r="D89" s="55"/>
      <c r="E89" s="233"/>
      <c r="F89" s="234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233"/>
      <c r="F90" s="234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33"/>
      <c r="F91" s="234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33"/>
      <c r="F92" s="234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33"/>
      <c r="F93" s="234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33"/>
      <c r="F94" s="234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35"/>
      <c r="F95" s="236"/>
      <c r="G95" s="51"/>
    </row>
    <row r="96" spans="1:7" s="52" customFormat="1" ht="15" thickBot="1" x14ac:dyDescent="0.35">
      <c r="A96" s="162" t="s">
        <v>29</v>
      </c>
      <c r="B96" s="83">
        <f>SUM(B88:B95)</f>
        <v>36</v>
      </c>
      <c r="C96" s="162" t="str">
        <f xml:space="preserve"> setValueToTime(B96)</f>
        <v>3h</v>
      </c>
      <c r="D96" s="121"/>
      <c r="E96" s="243"/>
      <c r="F96" s="244"/>
      <c r="G96" s="51"/>
    </row>
    <row r="97" spans="1:7" s="59" customFormat="1" ht="15" thickBot="1" x14ac:dyDescent="0.35">
      <c r="A97" s="77"/>
      <c r="B97" s="77"/>
      <c r="C97" s="77"/>
      <c r="D97" s="77"/>
      <c r="E97" s="77"/>
      <c r="F97" s="77"/>
      <c r="G97" s="58"/>
    </row>
    <row r="98" spans="1:7" s="47" customFormat="1" ht="30" customHeight="1" thickBot="1" x14ac:dyDescent="0.3">
      <c r="A98" s="156" t="s">
        <v>12</v>
      </c>
      <c r="B98" s="164">
        <v>6</v>
      </c>
      <c r="C98" s="164"/>
      <c r="D98" s="157" t="s">
        <v>15</v>
      </c>
      <c r="E98" s="158" t="s">
        <v>64</v>
      </c>
      <c r="F98" s="159"/>
      <c r="G98" s="46"/>
    </row>
    <row r="99" spans="1:7" s="47" customFormat="1" ht="30" customHeight="1" thickBot="1" x14ac:dyDescent="0.3">
      <c r="A99" s="78" t="s">
        <v>5</v>
      </c>
      <c r="B99" s="161" t="s">
        <v>42</v>
      </c>
      <c r="C99" s="160"/>
      <c r="D99" s="78" t="s">
        <v>13</v>
      </c>
      <c r="E99" s="245" t="s">
        <v>14</v>
      </c>
      <c r="F99" s="246"/>
      <c r="G99" s="46"/>
    </row>
    <row r="100" spans="1:7" s="52" customFormat="1" ht="27" x14ac:dyDescent="0.3">
      <c r="A100" s="48" t="s">
        <v>47</v>
      </c>
      <c r="B100" s="49">
        <v>18</v>
      </c>
      <c r="C100" s="152" t="str">
        <f xml:space="preserve"> IF(B100="","",setValueToTime(B100))</f>
        <v>1h30min</v>
      </c>
      <c r="D100" s="166" t="s">
        <v>74</v>
      </c>
      <c r="E100" s="241"/>
      <c r="F100" s="242"/>
      <c r="G100" s="51"/>
    </row>
    <row r="101" spans="1:7" s="52" customFormat="1" ht="27" x14ac:dyDescent="0.3">
      <c r="A101" s="53" t="s">
        <v>48</v>
      </c>
      <c r="B101" s="54">
        <v>18</v>
      </c>
      <c r="C101" s="153" t="str">
        <f t="shared" ref="C101:C107" si="8" xml:space="preserve"> IF(B101="","",setValueToTime(B101))</f>
        <v>1h30min</v>
      </c>
      <c r="D101" s="167" t="s">
        <v>75</v>
      </c>
      <c r="E101" s="233"/>
      <c r="F101" s="234"/>
      <c r="G101" s="51"/>
    </row>
    <row r="102" spans="1:7" s="52" customFormat="1" x14ac:dyDescent="0.3">
      <c r="A102" s="53"/>
      <c r="B102" s="54"/>
      <c r="C102" s="153" t="str">
        <f t="shared" si="8"/>
        <v/>
      </c>
      <c r="D102" s="55"/>
      <c r="E102" s="233"/>
      <c r="F102" s="234"/>
      <c r="G102" s="51"/>
    </row>
    <row r="103" spans="1:7" s="52" customFormat="1" x14ac:dyDescent="0.3">
      <c r="A103" s="53"/>
      <c r="B103" s="54"/>
      <c r="C103" s="153" t="str">
        <f t="shared" si="8"/>
        <v/>
      </c>
      <c r="D103" s="55"/>
      <c r="E103" s="233"/>
      <c r="F103" s="234"/>
      <c r="G103" s="51"/>
    </row>
    <row r="104" spans="1:7" s="52" customFormat="1" x14ac:dyDescent="0.3">
      <c r="A104" s="54"/>
      <c r="B104" s="54"/>
      <c r="C104" s="154" t="str">
        <f t="shared" si="8"/>
        <v/>
      </c>
      <c r="D104" s="55"/>
      <c r="E104" s="233"/>
      <c r="F104" s="234"/>
      <c r="G104" s="51"/>
    </row>
    <row r="105" spans="1:7" s="52" customFormat="1" x14ac:dyDescent="0.3">
      <c r="A105" s="54"/>
      <c r="B105" s="54"/>
      <c r="C105" s="154" t="str">
        <f t="shared" si="8"/>
        <v/>
      </c>
      <c r="D105" s="55"/>
      <c r="E105" s="233"/>
      <c r="F105" s="234"/>
      <c r="G105" s="51"/>
    </row>
    <row r="106" spans="1:7" s="52" customFormat="1" x14ac:dyDescent="0.3">
      <c r="A106" s="54"/>
      <c r="B106" s="54"/>
      <c r="C106" s="154" t="str">
        <f t="shared" si="8"/>
        <v/>
      </c>
      <c r="D106" s="55"/>
      <c r="E106" s="233"/>
      <c r="F106" s="234"/>
      <c r="G106" s="51"/>
    </row>
    <row r="107" spans="1:7" s="52" customFormat="1" ht="15" thickBot="1" x14ac:dyDescent="0.35">
      <c r="A107" s="56"/>
      <c r="B107" s="56"/>
      <c r="C107" s="155" t="str">
        <f t="shared" si="8"/>
        <v/>
      </c>
      <c r="D107" s="57"/>
      <c r="E107" s="235"/>
      <c r="F107" s="236"/>
      <c r="G107" s="51"/>
    </row>
    <row r="108" spans="1:7" s="52" customFormat="1" ht="15" thickBot="1" x14ac:dyDescent="0.35">
      <c r="A108" s="162" t="s">
        <v>29</v>
      </c>
      <c r="B108" s="83">
        <f>SUM(B100:B107)</f>
        <v>36</v>
      </c>
      <c r="C108" s="162" t="str">
        <f xml:space="preserve"> setValueToTime(B108)</f>
        <v>3h</v>
      </c>
      <c r="D108" s="121"/>
      <c r="E108" s="243"/>
      <c r="F108" s="244"/>
      <c r="G108" s="51"/>
    </row>
    <row r="109" spans="1:7" s="59" customFormat="1" ht="15" thickBot="1" x14ac:dyDescent="0.35">
      <c r="A109" s="77"/>
      <c r="B109" s="77"/>
      <c r="C109" s="77"/>
      <c r="D109" s="77"/>
      <c r="E109" s="77"/>
      <c r="F109" s="77"/>
      <c r="G109" s="58"/>
    </row>
    <row r="110" spans="1:7" s="47" customFormat="1" ht="30" customHeight="1" thickBot="1" x14ac:dyDescent="0.3">
      <c r="A110" s="156" t="s">
        <v>12</v>
      </c>
      <c r="B110" s="164">
        <v>5</v>
      </c>
      <c r="C110" s="164"/>
      <c r="D110" s="157" t="s">
        <v>15</v>
      </c>
      <c r="E110" s="158" t="s">
        <v>63</v>
      </c>
      <c r="F110" s="159"/>
      <c r="G110" s="46"/>
    </row>
    <row r="111" spans="1:7" s="47" customFormat="1" ht="30" customHeight="1" thickBot="1" x14ac:dyDescent="0.3">
      <c r="A111" s="78" t="s">
        <v>5</v>
      </c>
      <c r="B111" s="161" t="s">
        <v>42</v>
      </c>
      <c r="C111" s="160"/>
      <c r="D111" s="78" t="s">
        <v>13</v>
      </c>
      <c r="E111" s="245" t="s">
        <v>14</v>
      </c>
      <c r="F111" s="246"/>
      <c r="G111" s="46"/>
    </row>
    <row r="112" spans="1:7" s="52" customFormat="1" ht="27" x14ac:dyDescent="0.3">
      <c r="A112" s="48" t="s">
        <v>33</v>
      </c>
      <c r="B112" s="49">
        <v>18</v>
      </c>
      <c r="C112" s="152" t="str">
        <f xml:space="preserve"> IF(B112="","",setValueToTime(B112))</f>
        <v>1h30min</v>
      </c>
      <c r="D112" s="166" t="s">
        <v>72</v>
      </c>
      <c r="E112" s="241"/>
      <c r="F112" s="242"/>
      <c r="G112" s="51"/>
    </row>
    <row r="113" spans="1:7" s="52" customFormat="1" ht="40.5" x14ac:dyDescent="0.3">
      <c r="A113" s="53" t="s">
        <v>54</v>
      </c>
      <c r="B113" s="54">
        <v>18</v>
      </c>
      <c r="C113" s="153" t="str">
        <f t="shared" ref="C113:C119" si="9" xml:space="preserve"> IF(B113="","",setValueToTime(B113))</f>
        <v>1h30min</v>
      </c>
      <c r="D113" s="167" t="s">
        <v>73</v>
      </c>
      <c r="E113" s="233"/>
      <c r="F113" s="234"/>
      <c r="G113" s="51"/>
    </row>
    <row r="114" spans="1:7" s="52" customFormat="1" x14ac:dyDescent="0.3">
      <c r="A114" s="53"/>
      <c r="B114" s="54"/>
      <c r="C114" s="153" t="str">
        <f t="shared" si="9"/>
        <v/>
      </c>
      <c r="D114" s="55"/>
      <c r="E114" s="233"/>
      <c r="F114" s="234"/>
      <c r="G114" s="51"/>
    </row>
    <row r="115" spans="1:7" s="52" customFormat="1" x14ac:dyDescent="0.3">
      <c r="A115" s="53"/>
      <c r="B115" s="54"/>
      <c r="C115" s="153" t="str">
        <f t="shared" si="9"/>
        <v/>
      </c>
      <c r="D115" s="55"/>
      <c r="E115" s="233"/>
      <c r="F115" s="234"/>
      <c r="G115" s="51"/>
    </row>
    <row r="116" spans="1:7" s="52" customFormat="1" x14ac:dyDescent="0.3">
      <c r="A116" s="54"/>
      <c r="B116" s="54"/>
      <c r="C116" s="154" t="str">
        <f t="shared" si="9"/>
        <v/>
      </c>
      <c r="D116" s="55"/>
      <c r="E116" s="233"/>
      <c r="F116" s="234"/>
      <c r="G116" s="51"/>
    </row>
    <row r="117" spans="1:7" s="52" customFormat="1" x14ac:dyDescent="0.3">
      <c r="A117" s="54"/>
      <c r="B117" s="54"/>
      <c r="C117" s="154" t="str">
        <f t="shared" si="9"/>
        <v/>
      </c>
      <c r="D117" s="55"/>
      <c r="E117" s="233"/>
      <c r="F117" s="234"/>
      <c r="G117" s="51"/>
    </row>
    <row r="118" spans="1:7" s="52" customFormat="1" x14ac:dyDescent="0.3">
      <c r="A118" s="54"/>
      <c r="B118" s="54"/>
      <c r="C118" s="154" t="str">
        <f t="shared" si="9"/>
        <v/>
      </c>
      <c r="D118" s="55"/>
      <c r="E118" s="233"/>
      <c r="F118" s="234"/>
      <c r="G118" s="51"/>
    </row>
    <row r="119" spans="1:7" s="52" customFormat="1" ht="15" thickBot="1" x14ac:dyDescent="0.35">
      <c r="A119" s="56"/>
      <c r="B119" s="56"/>
      <c r="C119" s="155" t="str">
        <f t="shared" si="9"/>
        <v/>
      </c>
      <c r="D119" s="57"/>
      <c r="E119" s="235"/>
      <c r="F119" s="236"/>
      <c r="G119" s="51"/>
    </row>
    <row r="120" spans="1:7" s="52" customFormat="1" ht="15" thickBot="1" x14ac:dyDescent="0.35">
      <c r="A120" s="162" t="s">
        <v>29</v>
      </c>
      <c r="B120" s="83">
        <f>SUM(B112:B119)</f>
        <v>36</v>
      </c>
      <c r="C120" s="162" t="str">
        <f xml:space="preserve"> setValueToTime(B120)</f>
        <v>3h</v>
      </c>
      <c r="D120" s="121"/>
      <c r="E120" s="243"/>
      <c r="F120" s="244"/>
      <c r="G120" s="51"/>
    </row>
    <row r="121" spans="1:7" s="59" customFormat="1" ht="15" thickBot="1" x14ac:dyDescent="0.35">
      <c r="A121" s="77"/>
      <c r="B121" s="77"/>
      <c r="C121" s="77"/>
      <c r="D121" s="77"/>
      <c r="E121" s="77"/>
      <c r="F121" s="77"/>
      <c r="G121" s="58"/>
    </row>
    <row r="122" spans="1:7" s="47" customFormat="1" ht="30" customHeight="1" thickBot="1" x14ac:dyDescent="0.3">
      <c r="A122" s="156" t="s">
        <v>12</v>
      </c>
      <c r="B122" s="164">
        <v>4</v>
      </c>
      <c r="C122" s="164"/>
      <c r="D122" s="157" t="s">
        <v>15</v>
      </c>
      <c r="E122" s="158" t="s">
        <v>63</v>
      </c>
      <c r="F122" s="159"/>
      <c r="G122" s="46"/>
    </row>
    <row r="123" spans="1:7" s="47" customFormat="1" ht="30" customHeight="1" thickBot="1" x14ac:dyDescent="0.3">
      <c r="A123" s="78" t="s">
        <v>5</v>
      </c>
      <c r="B123" s="161" t="s">
        <v>42</v>
      </c>
      <c r="C123" s="160"/>
      <c r="D123" s="78" t="s">
        <v>13</v>
      </c>
      <c r="E123" s="245" t="s">
        <v>14</v>
      </c>
      <c r="F123" s="246"/>
      <c r="G123" s="46"/>
    </row>
    <row r="124" spans="1:7" s="52" customFormat="1" ht="27" x14ac:dyDescent="0.3">
      <c r="A124" s="48" t="s">
        <v>46</v>
      </c>
      <c r="B124" s="49">
        <v>18</v>
      </c>
      <c r="C124" s="152" t="str">
        <f xml:space="preserve"> IF(B124="","",setValueToTime(B124))</f>
        <v>1h30min</v>
      </c>
      <c r="D124" s="166" t="s">
        <v>69</v>
      </c>
      <c r="E124" s="241"/>
      <c r="F124" s="242"/>
      <c r="G124" s="51"/>
    </row>
    <row r="125" spans="1:7" s="52" customFormat="1" ht="27" x14ac:dyDescent="0.3">
      <c r="A125" s="53" t="s">
        <v>33</v>
      </c>
      <c r="B125" s="54">
        <v>18</v>
      </c>
      <c r="C125" s="153" t="str">
        <f t="shared" ref="C125:C131" si="10" xml:space="preserve"> IF(B125="","",setValueToTime(B125))</f>
        <v>1h30min</v>
      </c>
      <c r="D125" s="167" t="s">
        <v>70</v>
      </c>
      <c r="E125" s="233"/>
      <c r="F125" s="234"/>
      <c r="G125" s="51"/>
    </row>
    <row r="126" spans="1:7" s="52" customFormat="1" ht="27" x14ac:dyDescent="0.3">
      <c r="A126" s="53" t="s">
        <v>33</v>
      </c>
      <c r="B126" s="54">
        <v>9</v>
      </c>
      <c r="C126" s="153" t="str">
        <f t="shared" si="10"/>
        <v>0h45min</v>
      </c>
      <c r="D126" s="167" t="s">
        <v>71</v>
      </c>
      <c r="E126" s="233"/>
      <c r="F126" s="234"/>
      <c r="G126" s="51"/>
    </row>
    <row r="127" spans="1:7" s="52" customFormat="1" x14ac:dyDescent="0.3">
      <c r="A127" s="53"/>
      <c r="B127" s="54"/>
      <c r="C127" s="153" t="str">
        <f t="shared" si="10"/>
        <v/>
      </c>
      <c r="D127" s="55"/>
      <c r="E127" s="233"/>
      <c r="F127" s="234"/>
      <c r="G127" s="51"/>
    </row>
    <row r="128" spans="1:7" s="52" customFormat="1" x14ac:dyDescent="0.3">
      <c r="A128" s="54"/>
      <c r="B128" s="54"/>
      <c r="C128" s="154" t="str">
        <f t="shared" si="10"/>
        <v/>
      </c>
      <c r="D128" s="55"/>
      <c r="E128" s="233"/>
      <c r="F128" s="234"/>
      <c r="G128" s="51"/>
    </row>
    <row r="129" spans="1:7" s="52" customFormat="1" x14ac:dyDescent="0.3">
      <c r="A129" s="54"/>
      <c r="B129" s="54"/>
      <c r="C129" s="154" t="str">
        <f t="shared" si="10"/>
        <v/>
      </c>
      <c r="D129" s="55"/>
      <c r="E129" s="233"/>
      <c r="F129" s="234"/>
      <c r="G129" s="51"/>
    </row>
    <row r="130" spans="1:7" s="52" customFormat="1" x14ac:dyDescent="0.3">
      <c r="A130" s="54"/>
      <c r="B130" s="54"/>
      <c r="C130" s="154" t="str">
        <f t="shared" si="10"/>
        <v/>
      </c>
      <c r="D130" s="55"/>
      <c r="E130" s="233"/>
      <c r="F130" s="234"/>
      <c r="G130" s="51"/>
    </row>
    <row r="131" spans="1:7" s="52" customFormat="1" ht="15" thickBot="1" x14ac:dyDescent="0.35">
      <c r="A131" s="56"/>
      <c r="B131" s="56"/>
      <c r="C131" s="155" t="str">
        <f t="shared" si="10"/>
        <v/>
      </c>
      <c r="D131" s="57"/>
      <c r="E131" s="235"/>
      <c r="F131" s="236"/>
      <c r="G131" s="51"/>
    </row>
    <row r="132" spans="1:7" s="52" customFormat="1" ht="15" thickBot="1" x14ac:dyDescent="0.35">
      <c r="A132" s="162" t="s">
        <v>29</v>
      </c>
      <c r="B132" s="83">
        <f>SUM(B124:B131)</f>
        <v>45</v>
      </c>
      <c r="C132" s="162" t="str">
        <f xml:space="preserve"> setValueToTime(B132)</f>
        <v>3h45min</v>
      </c>
      <c r="D132" s="121"/>
      <c r="E132" s="243"/>
      <c r="F132" s="244"/>
      <c r="G132" s="51"/>
    </row>
    <row r="133" spans="1:7" s="59" customFormat="1" ht="15" thickBot="1" x14ac:dyDescent="0.35">
      <c r="A133" s="77"/>
      <c r="B133" s="77"/>
      <c r="C133" s="77"/>
      <c r="D133" s="77"/>
      <c r="E133" s="77"/>
      <c r="F133" s="77"/>
      <c r="G133" s="58"/>
    </row>
    <row r="134" spans="1:7" s="47" customFormat="1" ht="30" customHeight="1" thickBot="1" x14ac:dyDescent="0.3">
      <c r="A134" s="156" t="s">
        <v>12</v>
      </c>
      <c r="B134" s="164">
        <v>3</v>
      </c>
      <c r="C134" s="164"/>
      <c r="D134" s="157" t="s">
        <v>15</v>
      </c>
      <c r="E134" s="158" t="s">
        <v>62</v>
      </c>
      <c r="F134" s="159"/>
      <c r="G134" s="46"/>
    </row>
    <row r="135" spans="1:7" s="47" customFormat="1" ht="30" customHeight="1" thickBot="1" x14ac:dyDescent="0.3">
      <c r="A135" s="78" t="s">
        <v>5</v>
      </c>
      <c r="B135" s="161" t="s">
        <v>42</v>
      </c>
      <c r="C135" s="160"/>
      <c r="D135" s="78" t="s">
        <v>13</v>
      </c>
      <c r="E135" s="245" t="s">
        <v>14</v>
      </c>
      <c r="F135" s="246"/>
      <c r="G135" s="46"/>
    </row>
    <row r="136" spans="1:7" s="52" customFormat="1" ht="40.5" x14ac:dyDescent="0.3">
      <c r="A136" s="48" t="s">
        <v>54</v>
      </c>
      <c r="B136" s="49">
        <v>36</v>
      </c>
      <c r="C136" s="152" t="str">
        <f xml:space="preserve"> IF(B136="","",setValueToTime(B136))</f>
        <v>3h</v>
      </c>
      <c r="D136" s="166" t="s">
        <v>68</v>
      </c>
      <c r="E136" s="241"/>
      <c r="F136" s="242"/>
      <c r="G136" s="51"/>
    </row>
    <row r="137" spans="1:7" s="52" customFormat="1" x14ac:dyDescent="0.3">
      <c r="A137" s="53"/>
      <c r="B137" s="54"/>
      <c r="C137" s="153" t="str">
        <f t="shared" ref="C137:C143" si="11" xml:space="preserve"> IF(B137="","",setValueToTime(B137))</f>
        <v/>
      </c>
      <c r="D137" s="55"/>
      <c r="E137" s="233"/>
      <c r="F137" s="234"/>
      <c r="G137" s="51"/>
    </row>
    <row r="138" spans="1:7" s="52" customFormat="1" x14ac:dyDescent="0.3">
      <c r="A138" s="53"/>
      <c r="B138" s="54"/>
      <c r="C138" s="153" t="str">
        <f t="shared" si="11"/>
        <v/>
      </c>
      <c r="D138" s="55"/>
      <c r="E138" s="233"/>
      <c r="F138" s="234"/>
      <c r="G138" s="51"/>
    </row>
    <row r="139" spans="1:7" s="52" customFormat="1" x14ac:dyDescent="0.3">
      <c r="A139" s="53"/>
      <c r="B139" s="54"/>
      <c r="C139" s="153" t="str">
        <f t="shared" si="11"/>
        <v/>
      </c>
      <c r="D139" s="55"/>
      <c r="E139" s="233"/>
      <c r="F139" s="234"/>
      <c r="G139" s="51"/>
    </row>
    <row r="140" spans="1:7" s="52" customFormat="1" x14ac:dyDescent="0.3">
      <c r="A140" s="54"/>
      <c r="B140" s="54"/>
      <c r="C140" s="154" t="str">
        <f t="shared" si="11"/>
        <v/>
      </c>
      <c r="D140" s="55"/>
      <c r="E140" s="233"/>
      <c r="F140" s="234"/>
      <c r="G140" s="51"/>
    </row>
    <row r="141" spans="1:7" s="52" customFormat="1" x14ac:dyDescent="0.3">
      <c r="A141" s="54"/>
      <c r="B141" s="54"/>
      <c r="C141" s="154" t="str">
        <f t="shared" si="11"/>
        <v/>
      </c>
      <c r="D141" s="55"/>
      <c r="E141" s="233"/>
      <c r="F141" s="234"/>
      <c r="G141" s="51"/>
    </row>
    <row r="142" spans="1:7" s="52" customFormat="1" x14ac:dyDescent="0.3">
      <c r="A142" s="54"/>
      <c r="B142" s="54"/>
      <c r="C142" s="154" t="str">
        <f t="shared" si="11"/>
        <v/>
      </c>
      <c r="D142" s="55"/>
      <c r="E142" s="233"/>
      <c r="F142" s="234"/>
      <c r="G142" s="51"/>
    </row>
    <row r="143" spans="1:7" s="52" customFormat="1" ht="15" thickBot="1" x14ac:dyDescent="0.35">
      <c r="A143" s="56"/>
      <c r="B143" s="56"/>
      <c r="C143" s="155" t="str">
        <f t="shared" si="11"/>
        <v/>
      </c>
      <c r="D143" s="57"/>
      <c r="E143" s="235"/>
      <c r="F143" s="236"/>
      <c r="G143" s="51"/>
    </row>
    <row r="144" spans="1:7" s="52" customFormat="1" ht="15" thickBot="1" x14ac:dyDescent="0.35">
      <c r="A144" s="162" t="s">
        <v>29</v>
      </c>
      <c r="B144" s="83">
        <f>SUM(B136:B143)</f>
        <v>36</v>
      </c>
      <c r="C144" s="162" t="str">
        <f xml:space="preserve"> setValueToTime(B144)</f>
        <v>3h</v>
      </c>
      <c r="D144" s="121"/>
      <c r="E144" s="243"/>
      <c r="F144" s="244"/>
      <c r="G144" s="51"/>
    </row>
    <row r="145" spans="1:7" s="59" customFormat="1" ht="15" thickBot="1" x14ac:dyDescent="0.35">
      <c r="A145" s="77"/>
      <c r="B145" s="77"/>
      <c r="C145" s="77"/>
      <c r="D145" s="77"/>
      <c r="E145" s="77"/>
      <c r="F145" s="77"/>
      <c r="G145" s="58"/>
    </row>
    <row r="146" spans="1:7" s="47" customFormat="1" ht="30" customHeight="1" thickBot="1" x14ac:dyDescent="0.3">
      <c r="A146" s="156" t="s">
        <v>12</v>
      </c>
      <c r="B146" s="164">
        <v>2</v>
      </c>
      <c r="C146" s="164"/>
      <c r="D146" s="157" t="s">
        <v>15</v>
      </c>
      <c r="E146" s="158" t="s">
        <v>61</v>
      </c>
      <c r="F146" s="159"/>
      <c r="G146" s="46"/>
    </row>
    <row r="147" spans="1:7" s="47" customFormat="1" ht="30" customHeight="1" thickBot="1" x14ac:dyDescent="0.3">
      <c r="A147" s="78" t="s">
        <v>5</v>
      </c>
      <c r="B147" s="161" t="s">
        <v>42</v>
      </c>
      <c r="C147" s="160"/>
      <c r="D147" s="78" t="s">
        <v>13</v>
      </c>
      <c r="E147" s="245" t="s">
        <v>14</v>
      </c>
      <c r="F147" s="246"/>
      <c r="G147" s="46"/>
    </row>
    <row r="148" spans="1:7" s="52" customFormat="1" ht="27" x14ac:dyDescent="0.3">
      <c r="A148" s="48" t="s">
        <v>33</v>
      </c>
      <c r="B148" s="49">
        <v>36</v>
      </c>
      <c r="C148" s="152" t="str">
        <f xml:space="preserve"> IF(B148="","",setValueToTime(B148))</f>
        <v>3h</v>
      </c>
      <c r="D148" s="166" t="s">
        <v>67</v>
      </c>
      <c r="E148" s="241"/>
      <c r="F148" s="242"/>
      <c r="G148" s="51"/>
    </row>
    <row r="149" spans="1:7" s="52" customFormat="1" x14ac:dyDescent="0.3">
      <c r="A149" s="53"/>
      <c r="B149" s="54"/>
      <c r="C149" s="153" t="str">
        <f t="shared" ref="C149:C155" si="12" xml:space="preserve"> IF(B149="","",setValueToTime(B149))</f>
        <v/>
      </c>
      <c r="D149" s="55"/>
      <c r="E149" s="233"/>
      <c r="F149" s="234"/>
      <c r="G149" s="51"/>
    </row>
    <row r="150" spans="1:7" s="52" customFormat="1" x14ac:dyDescent="0.3">
      <c r="A150" s="53"/>
      <c r="B150" s="54"/>
      <c r="C150" s="153" t="str">
        <f t="shared" si="12"/>
        <v/>
      </c>
      <c r="D150" s="55"/>
      <c r="E150" s="233"/>
      <c r="F150" s="234"/>
      <c r="G150" s="51"/>
    </row>
    <row r="151" spans="1:7" s="52" customFormat="1" x14ac:dyDescent="0.3">
      <c r="A151" s="53"/>
      <c r="B151" s="54"/>
      <c r="C151" s="153" t="str">
        <f t="shared" si="12"/>
        <v/>
      </c>
      <c r="D151" s="55"/>
      <c r="E151" s="233"/>
      <c r="F151" s="234"/>
      <c r="G151" s="51"/>
    </row>
    <row r="152" spans="1:7" s="52" customFormat="1" x14ac:dyDescent="0.3">
      <c r="A152" s="54"/>
      <c r="B152" s="54"/>
      <c r="C152" s="154" t="str">
        <f t="shared" si="12"/>
        <v/>
      </c>
      <c r="D152" s="55"/>
      <c r="E152" s="233"/>
      <c r="F152" s="234"/>
      <c r="G152" s="51"/>
    </row>
    <row r="153" spans="1:7" s="52" customFormat="1" x14ac:dyDescent="0.3">
      <c r="A153" s="54"/>
      <c r="B153" s="54"/>
      <c r="C153" s="154" t="str">
        <f t="shared" si="12"/>
        <v/>
      </c>
      <c r="D153" s="55"/>
      <c r="E153" s="233"/>
      <c r="F153" s="234"/>
      <c r="G153" s="51"/>
    </row>
    <row r="154" spans="1:7" s="52" customFormat="1" x14ac:dyDescent="0.3">
      <c r="A154" s="54"/>
      <c r="B154" s="54"/>
      <c r="C154" s="154" t="str">
        <f t="shared" si="12"/>
        <v/>
      </c>
      <c r="D154" s="55"/>
      <c r="E154" s="233"/>
      <c r="F154" s="234"/>
      <c r="G154" s="51"/>
    </row>
    <row r="155" spans="1:7" s="52" customFormat="1" ht="15" thickBot="1" x14ac:dyDescent="0.35">
      <c r="A155" s="56"/>
      <c r="B155" s="56"/>
      <c r="C155" s="155" t="str">
        <f t="shared" si="12"/>
        <v/>
      </c>
      <c r="D155" s="57"/>
      <c r="E155" s="235"/>
      <c r="F155" s="236"/>
      <c r="G155" s="51"/>
    </row>
    <row r="156" spans="1:7" s="52" customFormat="1" ht="15" thickBot="1" x14ac:dyDescent="0.35">
      <c r="A156" s="162" t="s">
        <v>29</v>
      </c>
      <c r="B156" s="83">
        <f>SUM(B148:B155)</f>
        <v>36</v>
      </c>
      <c r="C156" s="162" t="str">
        <f xml:space="preserve"> setValueToTime(B156)</f>
        <v>3h</v>
      </c>
      <c r="D156" s="121"/>
      <c r="E156" s="243"/>
      <c r="F156" s="244"/>
      <c r="G156" s="51"/>
    </row>
    <row r="157" spans="1:7" s="59" customFormat="1" ht="15" thickBot="1" x14ac:dyDescent="0.35">
      <c r="A157" s="77"/>
      <c r="B157" s="77"/>
      <c r="C157" s="77"/>
      <c r="D157" s="77"/>
      <c r="E157" s="77"/>
      <c r="F157" s="77"/>
      <c r="G157" s="58"/>
    </row>
    <row r="158" spans="1:7" s="47" customFormat="1" ht="30" customHeight="1" thickBot="1" x14ac:dyDescent="0.3">
      <c r="A158" s="156" t="s">
        <v>12</v>
      </c>
      <c r="B158" s="164">
        <v>1</v>
      </c>
      <c r="C158" s="164"/>
      <c r="D158" s="157" t="s">
        <v>15</v>
      </c>
      <c r="E158" s="158" t="s">
        <v>61</v>
      </c>
      <c r="F158" s="159"/>
      <c r="G158" s="46"/>
    </row>
    <row r="159" spans="1:7" s="47" customFormat="1" ht="30" customHeight="1" thickBot="1" x14ac:dyDescent="0.3">
      <c r="A159" s="78" t="s">
        <v>5</v>
      </c>
      <c r="B159" s="161" t="s">
        <v>42</v>
      </c>
      <c r="C159" s="160"/>
      <c r="D159" s="78" t="s">
        <v>13</v>
      </c>
      <c r="E159" s="245" t="s">
        <v>14</v>
      </c>
      <c r="F159" s="246"/>
      <c r="G159" s="46"/>
    </row>
    <row r="160" spans="1:7" s="52" customFormat="1" x14ac:dyDescent="0.3">
      <c r="A160" s="48" t="s">
        <v>4</v>
      </c>
      <c r="B160" s="49">
        <v>18</v>
      </c>
      <c r="C160" s="152" t="str">
        <f xml:space="preserve"> IF(B160="","",setValueToTime(B160))</f>
        <v>1h30min</v>
      </c>
      <c r="D160" s="166" t="s">
        <v>65</v>
      </c>
      <c r="E160" s="241"/>
      <c r="F160" s="242"/>
      <c r="G160" s="51"/>
    </row>
    <row r="161" spans="1:7" s="52" customFormat="1" ht="27" x14ac:dyDescent="0.3">
      <c r="A161" s="53" t="s">
        <v>33</v>
      </c>
      <c r="B161" s="54">
        <v>18</v>
      </c>
      <c r="C161" s="153" t="str">
        <f t="shared" ref="C161:C167" si="13" xml:space="preserve"> IF(B161="","",setValueToTime(B161))</f>
        <v>1h30min</v>
      </c>
      <c r="D161" s="167" t="s">
        <v>66</v>
      </c>
      <c r="E161" s="233"/>
      <c r="F161" s="234"/>
      <c r="G161" s="51"/>
    </row>
    <row r="162" spans="1:7" s="52" customFormat="1" x14ac:dyDescent="0.3">
      <c r="A162" s="53"/>
      <c r="B162" s="54"/>
      <c r="C162" s="153" t="str">
        <f t="shared" si="13"/>
        <v/>
      </c>
      <c r="D162" s="55"/>
      <c r="E162" s="233"/>
      <c r="F162" s="234"/>
      <c r="G162" s="51"/>
    </row>
    <row r="163" spans="1:7" s="52" customFormat="1" x14ac:dyDescent="0.3">
      <c r="A163" s="53"/>
      <c r="B163" s="54"/>
      <c r="C163" s="153" t="str">
        <f t="shared" si="13"/>
        <v/>
      </c>
      <c r="D163" s="55"/>
      <c r="E163" s="233"/>
      <c r="F163" s="234"/>
      <c r="G163" s="51"/>
    </row>
    <row r="164" spans="1:7" s="52" customFormat="1" x14ac:dyDescent="0.3">
      <c r="A164" s="54"/>
      <c r="B164" s="54"/>
      <c r="C164" s="154" t="str">
        <f t="shared" si="13"/>
        <v/>
      </c>
      <c r="D164" s="55"/>
      <c r="E164" s="233"/>
      <c r="F164" s="234"/>
      <c r="G164" s="51"/>
    </row>
    <row r="165" spans="1:7" s="52" customFormat="1" x14ac:dyDescent="0.3">
      <c r="A165" s="54"/>
      <c r="B165" s="54"/>
      <c r="C165" s="154" t="str">
        <f t="shared" si="13"/>
        <v/>
      </c>
      <c r="D165" s="55"/>
      <c r="E165" s="233"/>
      <c r="F165" s="234"/>
      <c r="G165" s="51"/>
    </row>
    <row r="166" spans="1:7" s="52" customFormat="1" x14ac:dyDescent="0.3">
      <c r="A166" s="54"/>
      <c r="B166" s="54"/>
      <c r="C166" s="154" t="str">
        <f t="shared" si="13"/>
        <v/>
      </c>
      <c r="D166" s="55"/>
      <c r="E166" s="233"/>
      <c r="F166" s="234"/>
      <c r="G166" s="51"/>
    </row>
    <row r="167" spans="1:7" s="52" customFormat="1" ht="15" thickBot="1" x14ac:dyDescent="0.35">
      <c r="A167" s="56"/>
      <c r="B167" s="56"/>
      <c r="C167" s="155" t="str">
        <f t="shared" si="13"/>
        <v/>
      </c>
      <c r="D167" s="57"/>
      <c r="E167" s="235"/>
      <c r="F167" s="236"/>
      <c r="G167" s="51"/>
    </row>
    <row r="168" spans="1:7" s="52" customFormat="1" ht="15" thickBot="1" x14ac:dyDescent="0.35">
      <c r="A168" s="162" t="s">
        <v>29</v>
      </c>
      <c r="B168" s="83">
        <f>SUM(B160:B167)</f>
        <v>36</v>
      </c>
      <c r="C168" s="162" t="str">
        <f xml:space="preserve"> setValueToTime(B168)</f>
        <v>3h</v>
      </c>
      <c r="D168" s="121"/>
      <c r="E168" s="243"/>
      <c r="F168" s="244"/>
      <c r="G168" s="51"/>
    </row>
    <row r="169" spans="1:7" s="59" customFormat="1" x14ac:dyDescent="0.3">
      <c r="A169" s="77"/>
      <c r="B169" s="77"/>
      <c r="C169" s="77"/>
      <c r="D169" s="77"/>
      <c r="E169" s="77"/>
      <c r="F169" s="77"/>
      <c r="G169" s="58"/>
    </row>
  </sheetData>
  <sheetProtection formatRows="0" insertRows="0" insertHyperlinks="0" deleteRows="0" selectLockedCells="1"/>
  <mergeCells count="140">
    <mergeCell ref="E12:F12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60:F60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78:F78"/>
    <mergeCell ref="E79:F79"/>
    <mergeCell ref="E80:F80"/>
    <mergeCell ref="E81:F81"/>
    <mergeCell ref="E82:F82"/>
    <mergeCell ref="E83:F83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165:F165"/>
    <mergeCell ref="E166:F166"/>
    <mergeCell ref="E167:F167"/>
    <mergeCell ref="E168:F168"/>
    <mergeCell ref="E147:F147"/>
    <mergeCell ref="E148:F148"/>
    <mergeCell ref="E149:F149"/>
    <mergeCell ref="E150:F150"/>
    <mergeCell ref="E151:F151"/>
    <mergeCell ref="E152:F152"/>
    <mergeCell ref="E159:F159"/>
    <mergeCell ref="E160:F160"/>
    <mergeCell ref="E161:F161"/>
    <mergeCell ref="E162:F162"/>
    <mergeCell ref="E163:F163"/>
    <mergeCell ref="E164:F164"/>
    <mergeCell ref="E153:F153"/>
    <mergeCell ref="E154:F154"/>
    <mergeCell ref="E155:F155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28:F128"/>
    <mergeCell ref="E129:F129"/>
    <mergeCell ref="E130:F130"/>
    <mergeCell ref="E131:F131"/>
    <mergeCell ref="E132:F132"/>
    <mergeCell ref="E123:F123"/>
    <mergeCell ref="E124:F124"/>
    <mergeCell ref="E125:F125"/>
    <mergeCell ref="E126:F126"/>
    <mergeCell ref="E127:F127"/>
    <mergeCell ref="E117:F117"/>
    <mergeCell ref="E118:F118"/>
    <mergeCell ref="E119:F119"/>
    <mergeCell ref="E120:F120"/>
    <mergeCell ref="E111:F111"/>
    <mergeCell ref="E112:F112"/>
    <mergeCell ref="E113:F113"/>
    <mergeCell ref="E114:F114"/>
    <mergeCell ref="E115:F115"/>
    <mergeCell ref="E100:F100"/>
    <mergeCell ref="E101:F101"/>
    <mergeCell ref="E102:F102"/>
    <mergeCell ref="E103:F103"/>
    <mergeCell ref="E116:F116"/>
    <mergeCell ref="E104:F104"/>
    <mergeCell ref="E106:F106"/>
    <mergeCell ref="E107:F107"/>
    <mergeCell ref="E108:F108"/>
    <mergeCell ref="E105:F105"/>
    <mergeCell ref="E99:F99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92:F92"/>
    <mergeCell ref="E93:F93"/>
    <mergeCell ref="E94:F94"/>
    <mergeCell ref="E95:F95"/>
    <mergeCell ref="E96:F96"/>
    <mergeCell ref="E87:F87"/>
    <mergeCell ref="E88:F88"/>
    <mergeCell ref="E89:F89"/>
    <mergeCell ref="E90:F90"/>
    <mergeCell ref="E91:F91"/>
    <mergeCell ref="E75:F75"/>
    <mergeCell ref="E76:F76"/>
    <mergeCell ref="E77:F77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</mergeCells>
  <phoneticPr fontId="0" type="noConversion"/>
  <conditionalFormatting sqref="B168">
    <cfRule type="cellIs" dxfId="16" priority="14" operator="greaterThan">
      <formula>60</formula>
    </cfRule>
  </conditionalFormatting>
  <conditionalFormatting sqref="B156">
    <cfRule type="cellIs" dxfId="15" priority="13" operator="greaterThan">
      <formula>60</formula>
    </cfRule>
  </conditionalFormatting>
  <conditionalFormatting sqref="B144">
    <cfRule type="cellIs" dxfId="14" priority="12" operator="greaterThan">
      <formula>60</formula>
    </cfRule>
  </conditionalFormatting>
  <conditionalFormatting sqref="B132">
    <cfRule type="cellIs" dxfId="13" priority="11" operator="greaterThan">
      <formula>60</formula>
    </cfRule>
  </conditionalFormatting>
  <conditionalFormatting sqref="B120">
    <cfRule type="cellIs" dxfId="12" priority="10" operator="greaterThan">
      <formula>60</formula>
    </cfRule>
  </conditionalFormatting>
  <conditionalFormatting sqref="B108">
    <cfRule type="cellIs" dxfId="11" priority="9" operator="greaterThan">
      <formula>60</formula>
    </cfRule>
  </conditionalFormatting>
  <conditionalFormatting sqref="B96">
    <cfRule type="cellIs" dxfId="10" priority="8" operator="greaterThan">
      <formula>60</formula>
    </cfRule>
  </conditionalFormatting>
  <conditionalFormatting sqref="B84">
    <cfRule type="cellIs" dxfId="9" priority="7" operator="greaterThan">
      <formula>60</formula>
    </cfRule>
  </conditionalFormatting>
  <conditionalFormatting sqref="B72">
    <cfRule type="cellIs" dxfId="8" priority="6" operator="greaterThan">
      <formula>60</formula>
    </cfRule>
  </conditionalFormatting>
  <conditionalFormatting sqref="B60">
    <cfRule type="cellIs" dxfId="7" priority="5" operator="greaterThan">
      <formula>60</formula>
    </cfRule>
  </conditionalFormatting>
  <conditionalFormatting sqref="B48">
    <cfRule type="cellIs" dxfId="6" priority="4" operator="greaterThan">
      <formula>60</formula>
    </cfRule>
  </conditionalFormatting>
  <conditionalFormatting sqref="B36">
    <cfRule type="cellIs" dxfId="5" priority="3" operator="greaterThan">
      <formula>60</formula>
    </cfRule>
  </conditionalFormatting>
  <conditionalFormatting sqref="B24">
    <cfRule type="cellIs" dxfId="4" priority="2" operator="greaterThan">
      <formula>60</formula>
    </cfRule>
  </conditionalFormatting>
  <conditionalFormatting sqref="B12">
    <cfRule type="cellIs" dxfId="3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160:B167 B148:B155 B136:B143 B124:B131 B112:B119 B100:B107 B88:B95 B76:B83 B64:B71 B52:B59 B40:B47 B28:B35 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68 B156 B144 B132 B120 B108 B96 B84 B72 B60 B48 B36 B24 B12">
      <formula1>0</formula1>
      <formula2>60</formula2>
    </dataValidation>
    <dataValidation type="list" allowBlank="1" showInputMessage="1" showErrorMessage="1" sqref="A160:A167 A148:A155 A136:A143 A124:A131 A112:A119 A100:A107 A88:A95 A76:A83 A64:A71 A52:A59 A40:A47 A28:A35 A16:A23 A4:A11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201"/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  <c r="AF10" s="201"/>
      <c r="AG10" s="201"/>
      <c r="AH10" s="201"/>
      <c r="AI10" s="201"/>
      <c r="AJ10" s="201"/>
      <c r="AK10" s="201"/>
      <c r="AL10" s="201"/>
      <c r="AM10" s="201"/>
      <c r="AN10" s="201"/>
      <c r="AO10" s="201"/>
      <c r="AP10" s="201"/>
      <c r="AQ10" s="201"/>
      <c r="AR10" s="201"/>
      <c r="AS10" s="201"/>
      <c r="AT10" s="201"/>
      <c r="AU10" s="201"/>
      <c r="AV10" s="201"/>
      <c r="AW10" s="201"/>
      <c r="AX10" s="201"/>
      <c r="AY10" s="201"/>
      <c r="AZ10" s="201"/>
      <c r="BA10" s="201"/>
      <c r="BB10" s="201"/>
      <c r="BC10" s="201"/>
      <c r="BD10" s="201"/>
      <c r="BE10" s="201"/>
      <c r="BF10" s="201"/>
      <c r="BG10" s="201"/>
      <c r="BH10" s="201"/>
      <c r="BI10" s="90"/>
    </row>
    <row r="11" spans="1:61" ht="18" x14ac:dyDescent="0.25">
      <c r="A11" s="202"/>
      <c r="B11" s="202"/>
      <c r="C11" s="202"/>
      <c r="D11" s="202"/>
      <c r="E11" s="202"/>
      <c r="F11" s="202"/>
      <c r="G11" s="202"/>
      <c r="H11" s="202"/>
      <c r="I11" s="202"/>
      <c r="J11" s="202"/>
      <c r="K11" s="202"/>
      <c r="L11" s="202"/>
      <c r="M11" s="202"/>
      <c r="N11" s="202"/>
      <c r="O11" s="202"/>
      <c r="P11" s="202"/>
      <c r="Q11" s="202"/>
      <c r="R11" s="202"/>
      <c r="S11" s="202"/>
      <c r="T11" s="202"/>
      <c r="U11" s="202"/>
      <c r="V11" s="202"/>
      <c r="W11" s="202"/>
      <c r="X11" s="202"/>
      <c r="Y11" s="202"/>
      <c r="Z11" s="202"/>
      <c r="AA11" s="202"/>
      <c r="AB11" s="202"/>
      <c r="AC11" s="202"/>
      <c r="AD11" s="202"/>
      <c r="AE11" s="202"/>
      <c r="AF11" s="202"/>
      <c r="AG11" s="202"/>
      <c r="AH11" s="202"/>
      <c r="AI11" s="202"/>
      <c r="AJ11" s="202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AU11" s="202"/>
      <c r="AV11" s="202"/>
      <c r="AW11" s="202"/>
      <c r="AX11" s="202"/>
      <c r="AY11" s="202"/>
      <c r="AZ11" s="202"/>
      <c r="BA11" s="202"/>
      <c r="BB11" s="202"/>
      <c r="BC11" s="202"/>
      <c r="BD11" s="202"/>
      <c r="BE11" s="202"/>
      <c r="BF11" s="202"/>
      <c r="BG11" s="202"/>
      <c r="BH11" s="202"/>
      <c r="BI11" s="90"/>
    </row>
    <row r="12" spans="1:61" ht="18.75" thickBot="1" x14ac:dyDescent="0.3">
      <c r="A12" s="203"/>
      <c r="B12" s="203"/>
      <c r="C12" s="203"/>
      <c r="D12" s="203"/>
      <c r="E12" s="203"/>
      <c r="F12" s="203"/>
      <c r="G12" s="203"/>
      <c r="H12" s="203"/>
      <c r="I12" s="203"/>
      <c r="J12" s="203"/>
      <c r="K12" s="203"/>
      <c r="L12" s="203"/>
      <c r="M12" s="203"/>
      <c r="N12" s="203"/>
      <c r="O12" s="203"/>
      <c r="P12" s="203"/>
      <c r="Q12" s="203"/>
      <c r="R12" s="203"/>
      <c r="S12" s="203"/>
      <c r="T12" s="203"/>
      <c r="U12" s="203"/>
      <c r="V12" s="203"/>
      <c r="W12" s="203"/>
      <c r="X12" s="203"/>
      <c r="Y12" s="203"/>
      <c r="Z12" s="203"/>
      <c r="AA12" s="203"/>
      <c r="AB12" s="203"/>
      <c r="AC12" s="203"/>
      <c r="AD12" s="203"/>
      <c r="AE12" s="203"/>
      <c r="AF12" s="203"/>
      <c r="AG12" s="203"/>
      <c r="AH12" s="203"/>
      <c r="AI12" s="203"/>
      <c r="AJ12" s="203"/>
      <c r="AK12" s="203"/>
      <c r="AL12" s="203"/>
      <c r="AM12" s="203"/>
      <c r="AN12" s="203"/>
      <c r="AO12" s="203"/>
      <c r="AP12" s="203"/>
      <c r="AQ12" s="203"/>
      <c r="AR12" s="203"/>
      <c r="AS12" s="203"/>
      <c r="AT12" s="203"/>
      <c r="AU12" s="203"/>
      <c r="AV12" s="203"/>
      <c r="AW12" s="203"/>
      <c r="AX12" s="203"/>
      <c r="AY12" s="203"/>
      <c r="AZ12" s="203"/>
      <c r="BA12" s="203"/>
      <c r="BB12" s="203"/>
      <c r="BC12" s="203"/>
      <c r="BD12" s="203"/>
      <c r="BE12" s="203"/>
      <c r="BF12" s="203"/>
      <c r="BG12" s="203"/>
      <c r="BH12" s="203"/>
      <c r="BI12" s="90"/>
    </row>
    <row r="13" spans="1:61" ht="18.75" thickBot="1" x14ac:dyDescent="0.3">
      <c r="A13" s="204" t="s">
        <v>12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5"/>
      <c r="P13" s="205"/>
      <c r="Q13" s="205"/>
      <c r="R13" s="205"/>
      <c r="S13" s="205"/>
      <c r="T13" s="205"/>
      <c r="U13" s="205"/>
      <c r="V13" s="205"/>
      <c r="W13" s="205"/>
      <c r="X13" s="205"/>
      <c r="Y13" s="205"/>
      <c r="Z13" s="205"/>
      <c r="AA13" s="205"/>
      <c r="AB13" s="205"/>
      <c r="AC13" s="205"/>
      <c r="AD13" s="205"/>
      <c r="AE13" s="205"/>
      <c r="AF13" s="205"/>
      <c r="AG13" s="205"/>
      <c r="AH13" s="205"/>
      <c r="AI13" s="205"/>
      <c r="AJ13" s="205"/>
      <c r="AK13" s="205"/>
      <c r="AL13" s="205"/>
      <c r="AM13" s="205"/>
      <c r="AN13" s="205"/>
      <c r="AO13" s="205"/>
      <c r="AP13" s="205"/>
      <c r="AQ13" s="205"/>
      <c r="AR13" s="205"/>
      <c r="AS13" s="205"/>
      <c r="AT13" s="205"/>
      <c r="AU13" s="205"/>
      <c r="AV13" s="205"/>
      <c r="AW13" s="205"/>
      <c r="AX13" s="205"/>
      <c r="AY13" s="205"/>
      <c r="AZ13" s="205"/>
      <c r="BA13" s="205"/>
      <c r="BB13" s="205"/>
      <c r="BC13" s="205"/>
      <c r="BD13" s="205"/>
      <c r="BE13" s="205"/>
      <c r="BF13" s="205"/>
      <c r="BG13" s="205"/>
      <c r="BH13" s="206"/>
      <c r="BI13" s="90"/>
    </row>
    <row r="14" spans="1:61" ht="15.75" thickBot="1" x14ac:dyDescent="0.35">
      <c r="A14" s="103"/>
      <c r="B14" s="104"/>
      <c r="C14" s="104"/>
      <c r="D14" s="104"/>
      <c r="E14" s="207" t="s">
        <v>36</v>
      </c>
      <c r="F14" s="207"/>
      <c r="G14" s="207"/>
      <c r="H14" s="207"/>
      <c r="I14" s="104"/>
      <c r="J14" s="104"/>
      <c r="K14" s="208" t="s">
        <v>24</v>
      </c>
      <c r="L14" s="208"/>
      <c r="M14" s="208"/>
      <c r="N14" s="208"/>
      <c r="O14" s="129"/>
      <c r="P14" s="129"/>
      <c r="Q14" s="207" t="s">
        <v>37</v>
      </c>
      <c r="R14" s="207"/>
      <c r="S14" s="207"/>
      <c r="T14" s="207"/>
      <c r="U14" s="104"/>
      <c r="V14" s="104"/>
      <c r="W14" s="208" t="s">
        <v>25</v>
      </c>
      <c r="X14" s="208"/>
      <c r="Y14" s="208"/>
      <c r="Z14" s="208"/>
      <c r="AA14" s="129"/>
      <c r="AB14" s="129"/>
      <c r="AC14" s="207" t="s">
        <v>38</v>
      </c>
      <c r="AD14" s="207"/>
      <c r="AE14" s="207"/>
      <c r="AF14" s="207"/>
      <c r="AG14" s="104"/>
      <c r="AH14" s="104"/>
      <c r="AI14" s="208" t="s">
        <v>26</v>
      </c>
      <c r="AJ14" s="208"/>
      <c r="AK14" s="208"/>
      <c r="AL14" s="208"/>
      <c r="AM14" s="129"/>
      <c r="AN14" s="129"/>
      <c r="AO14" s="207" t="s">
        <v>39</v>
      </c>
      <c r="AP14" s="207"/>
      <c r="AQ14" s="207"/>
      <c r="AR14" s="207"/>
      <c r="AS14" s="104"/>
      <c r="AT14" s="104"/>
      <c r="AU14" s="208" t="s">
        <v>27</v>
      </c>
      <c r="AV14" s="208"/>
      <c r="AW14" s="208"/>
      <c r="AX14" s="208"/>
      <c r="AY14" s="129"/>
      <c r="AZ14" s="129"/>
      <c r="BA14" s="207" t="s">
        <v>40</v>
      </c>
      <c r="BB14" s="207"/>
      <c r="BC14" s="207"/>
      <c r="BD14" s="207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12</v>
      </c>
      <c r="B1" s="163">
        <v>1</v>
      </c>
      <c r="C1" s="163"/>
      <c r="D1" s="82" t="s">
        <v>15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42</v>
      </c>
      <c r="C2" s="151"/>
      <c r="D2" s="80" t="s">
        <v>13</v>
      </c>
      <c r="E2" s="239" t="s">
        <v>14</v>
      </c>
      <c r="F2" s="240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41"/>
      <c r="F3" s="242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33"/>
      <c r="F4" s="234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33"/>
      <c r="F5" s="234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33"/>
      <c r="F6" s="234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33"/>
      <c r="F7" s="234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33"/>
      <c r="F8" s="234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33"/>
      <c r="F9" s="234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35"/>
      <c r="F10" s="236"/>
      <c r="G10" s="51"/>
    </row>
    <row r="11" spans="1:7" s="52" customFormat="1" ht="15" thickBot="1" x14ac:dyDescent="0.35">
      <c r="A11" s="111" t="s">
        <v>29</v>
      </c>
      <c r="B11" s="84">
        <f>SUM(B3:B10)</f>
        <v>0</v>
      </c>
      <c r="C11" s="111" t="str">
        <f xml:space="preserve"> setValueToTime(B11)</f>
        <v>0h</v>
      </c>
      <c r="D11" s="120"/>
      <c r="E11" s="237"/>
      <c r="F11" s="238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12</v>
      </c>
      <c r="B1" s="164">
        <v>1</v>
      </c>
      <c r="C1" s="164"/>
      <c r="D1" s="157" t="s">
        <v>15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42</v>
      </c>
      <c r="C2" s="160"/>
      <c r="D2" s="78" t="s">
        <v>13</v>
      </c>
      <c r="E2" s="245" t="s">
        <v>14</v>
      </c>
      <c r="F2" s="246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41"/>
      <c r="F3" s="242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33"/>
      <c r="F4" s="234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33"/>
      <c r="F5" s="234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33"/>
      <c r="F6" s="234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33"/>
      <c r="F7" s="234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33"/>
      <c r="F8" s="234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33"/>
      <c r="F9" s="234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35"/>
      <c r="F10" s="236"/>
      <c r="G10" s="51"/>
    </row>
    <row r="11" spans="1:7" s="52" customFormat="1" ht="15" thickBot="1" x14ac:dyDescent="0.35">
      <c r="A11" s="162" t="s">
        <v>29</v>
      </c>
      <c r="B11" s="83">
        <f>SUM(B3:B10)</f>
        <v>0</v>
      </c>
      <c r="C11" s="162" t="str">
        <f xml:space="preserve"> setValueToTime(B11)</f>
        <v>0h</v>
      </c>
      <c r="D11" s="121"/>
      <c r="E11" s="243"/>
      <c r="F11" s="244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Emilien Charpié</dc:creator>
  <cp:lastModifiedBy>Emilien Charpié</cp:lastModifiedBy>
  <cp:lastPrinted>2019-05-08T10:31:53Z</cp:lastPrinted>
  <dcterms:created xsi:type="dcterms:W3CDTF">1996-10-21T11:03:58Z</dcterms:created>
  <dcterms:modified xsi:type="dcterms:W3CDTF">2022-06-13T06:01:13Z</dcterms:modified>
</cp:coreProperties>
</file>